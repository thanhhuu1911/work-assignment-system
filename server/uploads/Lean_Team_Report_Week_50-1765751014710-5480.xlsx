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72.16.126.11\data share\ME\3. LEAN\Huu\Báo cáo tuần\2025\T12\w50\"/>
    </mc:Choice>
  </mc:AlternateContent>
  <bookViews>
    <workbookView xWindow="0" yWindow="0" windowWidth="15300" windowHeight="7590" firstSheet="1" activeTab="1"/>
  </bookViews>
  <sheets>
    <sheet name="Raw Data" sheetId="3" state="hidden" r:id="rId1"/>
    <sheet name="hoạt động all" sheetId="46" r:id="rId2"/>
    <sheet name="Kaizen activity " sheetId="45" r:id="rId3"/>
    <sheet name="From bao cao" sheetId="4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5" i="46" l="1"/>
  <c r="R25" i="46" s="1"/>
  <c r="AI5" i="46"/>
  <c r="O25" i="46" l="1"/>
  <c r="AG4" i="46" l="1"/>
  <c r="AF5" i="46" l="1"/>
  <c r="X4" i="46"/>
  <c r="M25" i="46" l="1"/>
  <c r="G5" i="46"/>
  <c r="F5" i="46"/>
  <c r="E5" i="46"/>
  <c r="L25" i="46" l="1"/>
  <c r="H8" i="46"/>
  <c r="G12" i="46"/>
  <c r="F12" i="46"/>
  <c r="E12" i="46"/>
  <c r="G8" i="46"/>
  <c r="F8" i="46"/>
  <c r="E8" i="46"/>
  <c r="K25" i="46" l="1"/>
  <c r="Q9" i="46"/>
  <c r="P9" i="46"/>
  <c r="O9" i="46"/>
  <c r="N9" i="46"/>
  <c r="H12" i="46"/>
  <c r="I3" i="46"/>
  <c r="N8" i="46" l="1"/>
  <c r="O8" i="46"/>
  <c r="P8" i="46"/>
  <c r="Q8" i="46"/>
  <c r="AB3" i="46"/>
  <c r="E18" i="45" l="1"/>
  <c r="P10" i="46"/>
  <c r="O10" i="46"/>
  <c r="N10" i="46"/>
  <c r="I12" i="46" l="1"/>
  <c r="C6" i="45" l="1"/>
  <c r="I18" i="45" l="1"/>
  <c r="L32" i="46" l="1"/>
  <c r="I10" i="46" l="1"/>
  <c r="G23" i="46" s="1"/>
  <c r="F23" i="46" s="1"/>
  <c r="I11" i="46"/>
  <c r="G24" i="46" s="1"/>
  <c r="F24" i="46" s="1"/>
  <c r="I13" i="46"/>
  <c r="G26" i="46" s="1"/>
  <c r="F26" i="46" s="1"/>
  <c r="I14" i="46"/>
  <c r="G27" i="46" s="1"/>
  <c r="F27" i="46" s="1"/>
  <c r="I15" i="46"/>
  <c r="G28" i="46" s="1"/>
  <c r="F28" i="46" s="1"/>
  <c r="I16" i="46"/>
  <c r="G29" i="46" s="1"/>
  <c r="I17" i="46"/>
  <c r="G30" i="46" s="1"/>
  <c r="F30" i="46" s="1"/>
  <c r="I18" i="46"/>
  <c r="G31" i="46" s="1"/>
  <c r="F31" i="46" s="1"/>
  <c r="I9" i="46"/>
  <c r="G22" i="46" s="1"/>
  <c r="F22" i="46" s="1"/>
  <c r="I4" i="46"/>
  <c r="X3" i="46"/>
  <c r="R32" i="46"/>
  <c r="C16" i="45"/>
  <c r="F29" i="46" l="1"/>
  <c r="I19" i="46"/>
  <c r="Q25" i="46" l="1"/>
  <c r="Q32" i="46" s="1"/>
  <c r="C15" i="45" l="1"/>
  <c r="AH5" i="46" l="1"/>
  <c r="AG5" i="46"/>
  <c r="O32" i="46" s="1"/>
  <c r="E19" i="46"/>
  <c r="P25" i="46" l="1"/>
  <c r="P32" i="46" s="1"/>
  <c r="C14" i="45"/>
  <c r="Q10" i="46"/>
  <c r="M32" i="46"/>
  <c r="K32" i="46"/>
  <c r="J32" i="46"/>
  <c r="I32" i="46"/>
  <c r="H32" i="46"/>
  <c r="G32" i="46"/>
  <c r="H19" i="46"/>
  <c r="G19" i="46"/>
  <c r="F19" i="46"/>
  <c r="AE5" i="46"/>
  <c r="AD5" i="46"/>
  <c r="AC5" i="46"/>
  <c r="AB5" i="46"/>
  <c r="AA5" i="46"/>
  <c r="Z5" i="46"/>
  <c r="Y5" i="46"/>
  <c r="H5" i="46"/>
  <c r="I5" i="46" l="1"/>
  <c r="H18" i="45"/>
  <c r="G18" i="45"/>
  <c r="F18" i="45"/>
  <c r="D18" i="45"/>
  <c r="C12" i="45"/>
  <c r="C11" i="45"/>
  <c r="C10" i="45"/>
  <c r="C9" i="45"/>
  <c r="C8" i="45"/>
  <c r="C7" i="45"/>
  <c r="O22" i="3"/>
  <c r="N22" i="3"/>
  <c r="M22" i="3"/>
  <c r="L22" i="3"/>
  <c r="K22" i="3"/>
  <c r="J22" i="3"/>
  <c r="I22" i="3"/>
  <c r="H22" i="3"/>
  <c r="G22" i="3"/>
  <c r="F22" i="3"/>
  <c r="P21" i="3"/>
  <c r="P20" i="3"/>
  <c r="P19" i="3"/>
  <c r="P18" i="3"/>
  <c r="P17" i="3"/>
  <c r="P16" i="3"/>
  <c r="P15" i="3"/>
  <c r="P14" i="3"/>
  <c r="P13" i="3"/>
  <c r="P12" i="3"/>
  <c r="C12" i="3"/>
  <c r="C13" i="3" s="1"/>
  <c r="C14" i="3" s="1"/>
  <c r="C15" i="3" s="1"/>
  <c r="C16" i="3" s="1"/>
  <c r="C17" i="3" s="1"/>
  <c r="C18" i="3" s="1"/>
  <c r="C19" i="3" s="1"/>
  <c r="C20" i="3" s="1"/>
  <c r="C21" i="3" s="1"/>
  <c r="P11" i="3"/>
  <c r="P22" i="3" s="1"/>
  <c r="O6" i="3"/>
  <c r="N6" i="3"/>
  <c r="M6" i="3"/>
  <c r="L6" i="3"/>
  <c r="K6" i="3"/>
  <c r="J6" i="3"/>
  <c r="I6" i="3"/>
  <c r="H6" i="3"/>
  <c r="G6" i="3"/>
  <c r="F6" i="3"/>
  <c r="P5" i="3"/>
  <c r="P4" i="3"/>
  <c r="P6" i="3" s="1"/>
  <c r="C13" i="45" l="1"/>
  <c r="X5" i="46" l="1"/>
  <c r="N25" i="46"/>
  <c r="C17" i="45"/>
  <c r="C18" i="45" s="1"/>
  <c r="F25" i="46" l="1"/>
  <c r="N32" i="46"/>
  <c r="F32" i="46" s="1"/>
</calcChain>
</file>

<file path=xl/sharedStrings.xml><?xml version="1.0" encoding="utf-8"?>
<sst xmlns="http://schemas.openxmlformats.org/spreadsheetml/2006/main" count="216" uniqueCount="88">
  <si>
    <t>Requester</t>
  </si>
  <si>
    <t>Status</t>
  </si>
  <si>
    <t>Subject</t>
  </si>
  <si>
    <t>Before</t>
  </si>
  <si>
    <t>After</t>
  </si>
  <si>
    <t>On going</t>
  </si>
  <si>
    <t>Quality Issue</t>
  </si>
  <si>
    <t>6S ( S1 - Sort )</t>
  </si>
  <si>
    <t>Mr Bae</t>
  </si>
  <si>
    <t>Done</t>
  </si>
  <si>
    <t>Mr Yoo</t>
  </si>
  <si>
    <t>Mr Doan</t>
  </si>
  <si>
    <t>Monthly</t>
  </si>
  <si>
    <t>Mr Hans</t>
  </si>
  <si>
    <t>Mr Cho</t>
  </si>
  <si>
    <t>No</t>
  </si>
  <si>
    <t xml:space="preserve"> Total</t>
  </si>
  <si>
    <t>Total</t>
  </si>
  <si>
    <t>Detail</t>
  </si>
  <si>
    <t>Department :</t>
  </si>
  <si>
    <t>Subject:</t>
  </si>
  <si>
    <t xml:space="preserve">Mr Pack </t>
  </si>
  <si>
    <t>Mr pack cs</t>
  </si>
  <si>
    <t>Mr Tung</t>
  </si>
  <si>
    <t>Change system cotrol</t>
  </si>
  <si>
    <t>Feb</t>
  </si>
  <si>
    <t>Mar</t>
  </si>
  <si>
    <t>Jan</t>
  </si>
  <si>
    <t>Kaizen Activity</t>
  </si>
  <si>
    <t>Apr</t>
  </si>
  <si>
    <t>Name/ID:</t>
  </si>
  <si>
    <t>ME team</t>
  </si>
  <si>
    <t>Unit/Stage:</t>
  </si>
  <si>
    <t>Date:</t>
  </si>
  <si>
    <t>Style:</t>
  </si>
  <si>
    <t>All style </t>
  </si>
  <si>
    <t>TCT</t>
  </si>
  <si>
    <t>Manpower</t>
  </si>
  <si>
    <t>PPH</t>
  </si>
  <si>
    <t>Cost saving</t>
  </si>
  <si>
    <t>Issues
Vấn đề</t>
  </si>
  <si>
    <t>Description
Mô tả chi tiết</t>
  </si>
  <si>
    <t>Improvement
Cải thiện</t>
  </si>
  <si>
    <t>Week 10</t>
  </si>
  <si>
    <t>Week 11</t>
  </si>
  <si>
    <t>Week 12</t>
  </si>
  <si>
    <t>Week 13</t>
  </si>
  <si>
    <t>April</t>
  </si>
  <si>
    <t>Week 14</t>
  </si>
  <si>
    <t>Week 15</t>
  </si>
  <si>
    <t>Week 16</t>
  </si>
  <si>
    <t>Week 17</t>
  </si>
  <si>
    <t>Sep</t>
  </si>
  <si>
    <t>Aug</t>
  </si>
  <si>
    <t>Jul</t>
  </si>
  <si>
    <t>May</t>
  </si>
  <si>
    <t>Amount</t>
  </si>
  <si>
    <t>Best kaizen</t>
  </si>
  <si>
    <t>Advance kaizen
(Monthly based)</t>
  </si>
  <si>
    <t>Intermediate kaizen
(Weekly based)</t>
  </si>
  <si>
    <t>Basic kaizen
(Daily based)</t>
  </si>
  <si>
    <t>Basic suggestion</t>
  </si>
  <si>
    <t>Not yet</t>
  </si>
  <si>
    <t>P</t>
  </si>
  <si>
    <t>Jun</t>
  </si>
  <si>
    <t>No.</t>
  </si>
  <si>
    <t>Total 2024</t>
  </si>
  <si>
    <t>Nhớ kéo công thức</t>
  </si>
  <si>
    <t>tổng các kaizen của tháng cộng vào</t>
  </si>
  <si>
    <t>Oct</t>
  </si>
  <si>
    <t>Mr Hong</t>
  </si>
  <si>
    <t>Mr Hong (CFA)</t>
  </si>
  <si>
    <t>Nov</t>
  </si>
  <si>
    <t>Dec</t>
  </si>
  <si>
    <t>Total 2025</t>
  </si>
  <si>
    <t xml:space="preserve"> Total Weekly</t>
  </si>
  <si>
    <t>Mr Han JH</t>
  </si>
  <si>
    <t>Mr COO</t>
  </si>
  <si>
    <t>Assembly</t>
  </si>
  <si>
    <t>Factory A</t>
  </si>
  <si>
    <t>Display</t>
  </si>
  <si>
    <t xml:space="preserve">
</t>
  </si>
  <si>
    <t>6S (S1 - Sort)</t>
  </si>
  <si>
    <t># No of kaizen</t>
  </si>
  <si>
    <t>Week47
(W3_11)</t>
  </si>
  <si>
    <t>Week48
(W4_11)</t>
  </si>
  <si>
    <t>Week49
(W1_12)</t>
  </si>
  <si>
    <t>Week50
(W2_12)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</si>
</sst>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rgb="FFC00000"/>
      <name val="Arial"/>
      <family val="2"/>
    </font>
    <font>
      <sz val="18"/>
      <name val="Arial"/>
      <family val="2"/>
    </font>
    <font>
      <b/>
      <sz val="10"/>
      <color rgb="FF000000"/>
      <name val="Arial"/>
      <family val="2"/>
    </font>
    <font>
      <b/>
      <sz val="16"/>
      <color theme="1"/>
      <name val="Arial"/>
      <family val="2"/>
    </font>
    <font>
      <b/>
      <i/>
      <sz val="10"/>
      <color rgb="FF000000"/>
      <name val="Arial"/>
      <family val="2"/>
    </font>
    <font>
      <sz val="7"/>
      <color rgb="FF000000"/>
      <name val="Arial"/>
      <family val="2"/>
    </font>
    <font>
      <sz val="10"/>
      <color rgb="FF0000CC"/>
      <name val="Arial"/>
      <family val="2"/>
    </font>
    <font>
      <sz val="10"/>
      <color rgb="FF000000"/>
      <name val="Arial"/>
      <family val="2"/>
    </font>
    <font>
      <b/>
      <sz val="11"/>
      <color theme="0"/>
      <name val="Arial"/>
      <family val="2"/>
    </font>
    <font>
      <b/>
      <i/>
      <sz val="15"/>
      <color theme="0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Wingdings 2"/>
      <family val="1"/>
      <charset val="2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b/>
      <sz val="9"/>
      <color rgb="FFFFFFFF"/>
      <name val="Arial"/>
      <family val="2"/>
    </font>
    <font>
      <b/>
      <sz val="9"/>
      <color rgb="FF0000CC"/>
      <name val="Arial"/>
      <family val="2"/>
    </font>
    <font>
      <sz val="8"/>
      <name val="Calibri"/>
      <family val="2"/>
      <scheme val="minor"/>
    </font>
    <font>
      <sz val="8"/>
      <color theme="1"/>
      <name val="Arial"/>
      <family val="2"/>
    </font>
    <font>
      <sz val="8"/>
      <color rgb="FF000000"/>
      <name val="Arial"/>
      <family val="2"/>
    </font>
    <font>
      <b/>
      <sz val="8"/>
      <color rgb="FFC00000"/>
      <name val="Arial"/>
      <family val="2"/>
    </font>
    <font>
      <sz val="8"/>
      <name val="Arial"/>
      <family val="2"/>
    </font>
    <font>
      <b/>
      <sz val="8"/>
      <color theme="0"/>
      <name val="Arial"/>
      <family val="2"/>
    </font>
    <font>
      <b/>
      <sz val="8"/>
      <color rgb="FFFFFFFF"/>
      <name val="Arial"/>
      <family val="2"/>
    </font>
    <font>
      <b/>
      <sz val="8"/>
      <color rgb="FFFFFF00"/>
      <name val="Arial"/>
      <family val="2"/>
    </font>
    <font>
      <b/>
      <sz val="8"/>
      <color theme="1"/>
      <name val="Arial"/>
      <family val="2"/>
    </font>
    <font>
      <b/>
      <sz val="10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3" fillId="2" borderId="3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1" fillId="0" borderId="1" xfId="0" applyFont="1" applyBorder="1"/>
    <xf numFmtId="0" fontId="0" fillId="0" borderId="1" xfId="0" applyBorder="1" applyAlignment="1">
      <alignment horizontal="center" vertical="center"/>
    </xf>
    <xf numFmtId="14" fontId="1" fillId="0" borderId="0" xfId="0" applyNumberFormat="1" applyFont="1"/>
    <xf numFmtId="15" fontId="1" fillId="0" borderId="0" xfId="0" applyNumberFormat="1" applyFont="1" applyAlignment="1">
      <alignment horizontal="center" vertical="center"/>
    </xf>
    <xf numFmtId="0" fontId="7" fillId="0" borderId="16" xfId="0" applyFont="1" applyBorder="1" applyAlignment="1">
      <alignment horizontal="left" vertical="center" wrapText="1" readingOrder="1"/>
    </xf>
    <xf numFmtId="0" fontId="5" fillId="0" borderId="17" xfId="0" applyFont="1" applyBorder="1" applyAlignment="1">
      <alignment horizontal="center" vertical="center" wrapText="1" readingOrder="1"/>
    </xf>
    <xf numFmtId="0" fontId="7" fillId="0" borderId="17" xfId="0" applyFont="1" applyBorder="1" applyAlignment="1">
      <alignment horizontal="left" vertical="center" wrapText="1" readingOrder="1"/>
    </xf>
    <xf numFmtId="0" fontId="5" fillId="0" borderId="18" xfId="0" applyFont="1" applyBorder="1" applyAlignment="1">
      <alignment horizontal="center" vertical="center" wrapText="1" readingOrder="1"/>
    </xf>
    <xf numFmtId="0" fontId="5" fillId="0" borderId="16" xfId="0" applyFont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center" wrapText="1"/>
    </xf>
    <xf numFmtId="0" fontId="4" fillId="0" borderId="18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 readingOrder="1"/>
    </xf>
    <xf numFmtId="0" fontId="10" fillId="0" borderId="28" xfId="0" applyFont="1" applyBorder="1" applyAlignment="1">
      <alignment horizontal="center" wrapText="1" readingOrder="1"/>
    </xf>
    <xf numFmtId="0" fontId="5" fillId="0" borderId="28" xfId="0" applyFont="1" applyBorder="1" applyAlignment="1">
      <alignment horizontal="center" vertical="center" wrapText="1" readingOrder="1"/>
    </xf>
    <xf numFmtId="0" fontId="4" fillId="0" borderId="29" xfId="0" applyFont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 readingOrder="1"/>
    </xf>
    <xf numFmtId="0" fontId="11" fillId="4" borderId="31" xfId="0" applyFont="1" applyFill="1" applyBorder="1" applyAlignment="1">
      <alignment vertical="center"/>
    </xf>
    <xf numFmtId="0" fontId="11" fillId="4" borderId="7" xfId="0" applyFont="1" applyFill="1" applyBorder="1" applyAlignment="1">
      <alignment vertical="center"/>
    </xf>
    <xf numFmtId="0" fontId="11" fillId="4" borderId="1" xfId="0" applyFont="1" applyFill="1" applyBorder="1" applyAlignment="1">
      <alignment vertical="center"/>
    </xf>
    <xf numFmtId="0" fontId="2" fillId="0" borderId="17" xfId="0" applyFont="1" applyBorder="1" applyAlignment="1">
      <alignment horizontal="center" vertical="center" wrapText="1" readingOrder="1"/>
    </xf>
    <xf numFmtId="0" fontId="2" fillId="0" borderId="17" xfId="0" applyFont="1" applyBorder="1" applyAlignment="1">
      <alignment horizontal="left" wrapText="1" readingOrder="1"/>
    </xf>
    <xf numFmtId="0" fontId="3" fillId="2" borderId="1" xfId="0" applyFont="1" applyFill="1" applyBorder="1" applyAlignment="1">
      <alignment horizontal="center" vertical="center"/>
    </xf>
    <xf numFmtId="0" fontId="2" fillId="0" borderId="33" xfId="0" applyFont="1" applyBorder="1" applyAlignment="1">
      <alignment horizontal="center" vertical="center" wrapText="1" readingOrder="1"/>
    </xf>
    <xf numFmtId="0" fontId="2" fillId="0" borderId="34" xfId="0" applyFont="1" applyBorder="1" applyAlignment="1">
      <alignment horizontal="center" vertical="center" wrapText="1" readingOrder="1"/>
    </xf>
    <xf numFmtId="0" fontId="2" fillId="0" borderId="35" xfId="0" applyFont="1" applyBorder="1" applyAlignment="1">
      <alignment horizontal="center" vertical="center" wrapText="1" readingOrder="1"/>
    </xf>
    <xf numFmtId="0" fontId="2" fillId="0" borderId="36" xfId="0" applyFont="1" applyBorder="1" applyAlignment="1">
      <alignment horizontal="center" vertical="center" wrapText="1" readingOrder="1"/>
    </xf>
    <xf numFmtId="0" fontId="2" fillId="0" borderId="37" xfId="0" applyFont="1" applyBorder="1" applyAlignment="1">
      <alignment horizontal="center" vertical="center" wrapText="1" readingOrder="1"/>
    </xf>
    <xf numFmtId="0" fontId="6" fillId="0" borderId="0" xfId="0" applyFont="1"/>
    <xf numFmtId="0" fontId="13" fillId="5" borderId="38" xfId="0" applyFont="1" applyFill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13" fillId="2" borderId="38" xfId="0" applyFont="1" applyFill="1" applyBorder="1" applyAlignment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13" fillId="6" borderId="38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6" fillId="0" borderId="0" xfId="0" applyFont="1"/>
    <xf numFmtId="0" fontId="17" fillId="3" borderId="1" xfId="0" applyFont="1" applyFill="1" applyBorder="1" applyAlignment="1">
      <alignment horizontal="center" vertical="center" wrapText="1" readingOrder="1"/>
    </xf>
    <xf numFmtId="0" fontId="16" fillId="0" borderId="0" xfId="0" applyFont="1" applyAlignment="1">
      <alignment horizontal="center" vertical="center"/>
    </xf>
    <xf numFmtId="15" fontId="16" fillId="0" borderId="0" xfId="0" applyNumberFormat="1" applyFont="1" applyAlignment="1">
      <alignment horizontal="center" vertical="center"/>
    </xf>
    <xf numFmtId="14" fontId="16" fillId="0" borderId="0" xfId="0" applyNumberFormat="1" applyFont="1"/>
    <xf numFmtId="0" fontId="16" fillId="0" borderId="0" xfId="0" applyFont="1" applyAlignment="1">
      <alignment wrapText="1"/>
    </xf>
    <xf numFmtId="0" fontId="18" fillId="7" borderId="0" xfId="0" applyFont="1" applyFill="1"/>
    <xf numFmtId="0" fontId="0" fillId="0" borderId="0" xfId="0" applyAlignment="1">
      <alignment horizontal="center"/>
    </xf>
    <xf numFmtId="14" fontId="5" fillId="0" borderId="18" xfId="0" applyNumberFormat="1" applyFont="1" applyBorder="1" applyAlignment="1">
      <alignment horizontal="center" vertical="center" wrapText="1" readingOrder="1"/>
    </xf>
    <xf numFmtId="0" fontId="20" fillId="0" borderId="1" xfId="0" applyFont="1" applyBorder="1" applyAlignment="1">
      <alignment horizontal="center" vertical="center" shrinkToFit="1"/>
    </xf>
    <xf numFmtId="0" fontId="20" fillId="0" borderId="1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 wrapText="1" readingOrder="1"/>
    </xf>
    <xf numFmtId="0" fontId="22" fillId="8" borderId="1" xfId="0" applyFont="1" applyFill="1" applyBorder="1" applyAlignment="1">
      <alignment horizontal="center" vertical="center"/>
    </xf>
    <xf numFmtId="0" fontId="22" fillId="9" borderId="1" xfId="0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center" vertical="center" wrapText="1" readingOrder="1"/>
    </xf>
    <xf numFmtId="0" fontId="22" fillId="2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 readingOrder="1"/>
    </xf>
    <xf numFmtId="0" fontId="23" fillId="0" borderId="1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 wrapText="1" readingOrder="1"/>
    </xf>
    <xf numFmtId="0" fontId="22" fillId="2" borderId="7" xfId="0" applyFont="1" applyFill="1" applyBorder="1" applyAlignment="1">
      <alignment horizontal="centerContinuous" vertical="center" readingOrder="1"/>
    </xf>
    <xf numFmtId="0" fontId="22" fillId="2" borderId="10" xfId="0" applyFont="1" applyFill="1" applyBorder="1" applyAlignment="1">
      <alignment horizontal="centerContinuous" vertical="center" readingOrder="1"/>
    </xf>
    <xf numFmtId="0" fontId="22" fillId="2" borderId="8" xfId="0" applyFont="1" applyFill="1" applyBorder="1" applyAlignment="1">
      <alignment horizontal="centerContinuous" vertical="center" readingOrder="1"/>
    </xf>
    <xf numFmtId="0" fontId="24" fillId="3" borderId="1" xfId="0" applyFont="1" applyFill="1" applyBorder="1" applyAlignment="1">
      <alignment horizontal="center" vertical="center" wrapText="1" readingOrder="1"/>
    </xf>
    <xf numFmtId="0" fontId="24" fillId="4" borderId="1" xfId="0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 wrapText="1" readingOrder="1"/>
    </xf>
    <xf numFmtId="0" fontId="26" fillId="3" borderId="2" xfId="0" applyFont="1" applyFill="1" applyBorder="1" applyAlignment="1">
      <alignment horizontal="center" vertical="center" wrapText="1"/>
    </xf>
    <xf numFmtId="0" fontId="24" fillId="3" borderId="11" xfId="0" applyFont="1" applyFill="1" applyBorder="1" applyAlignment="1">
      <alignment horizontal="center" vertical="center" wrapText="1" readingOrder="1"/>
    </xf>
    <xf numFmtId="0" fontId="24" fillId="4" borderId="2" xfId="0" applyFont="1" applyFill="1" applyBorder="1" applyAlignment="1">
      <alignment horizontal="center" vertical="center"/>
    </xf>
    <xf numFmtId="0" fontId="22" fillId="2" borderId="5" xfId="0" applyFont="1" applyFill="1" applyBorder="1" applyAlignment="1">
      <alignment horizontal="centerContinuous" vertical="center" wrapText="1" readingOrder="1"/>
    </xf>
    <xf numFmtId="0" fontId="22" fillId="2" borderId="6" xfId="0" applyFont="1" applyFill="1" applyBorder="1" applyAlignment="1">
      <alignment horizontal="centerContinuous" vertical="center" wrapText="1" readingOrder="1"/>
    </xf>
    <xf numFmtId="0" fontId="26" fillId="4" borderId="2" xfId="0" applyFont="1" applyFill="1" applyBorder="1" applyAlignment="1">
      <alignment horizontal="center" vertical="center" wrapText="1"/>
    </xf>
    <xf numFmtId="0" fontId="24" fillId="4" borderId="2" xfId="0" applyFont="1" applyFill="1" applyBorder="1" applyAlignment="1">
      <alignment horizontal="center" vertical="center" wrapText="1"/>
    </xf>
    <xf numFmtId="0" fontId="24" fillId="4" borderId="30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2" borderId="5" xfId="0" applyFont="1" applyFill="1" applyBorder="1" applyAlignment="1">
      <alignment horizontal="center" vertical="center" wrapText="1" readingOrder="1"/>
    </xf>
    <xf numFmtId="0" fontId="3" fillId="2" borderId="6" xfId="0" applyFont="1" applyFill="1" applyBorder="1" applyAlignment="1">
      <alignment horizontal="center" vertical="center" wrapText="1" readingOrder="1"/>
    </xf>
    <xf numFmtId="0" fontId="11" fillId="3" borderId="11" xfId="0" applyFont="1" applyFill="1" applyBorder="1" applyAlignment="1">
      <alignment horizontal="center" vertical="center" wrapText="1" readingOrder="1"/>
    </xf>
    <xf numFmtId="0" fontId="11" fillId="3" borderId="12" xfId="0" applyFont="1" applyFill="1" applyBorder="1" applyAlignment="1">
      <alignment horizontal="center" vertical="center" wrapText="1" readingOrder="1"/>
    </xf>
    <xf numFmtId="0" fontId="11" fillId="4" borderId="2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readingOrder="1"/>
    </xf>
    <xf numFmtId="0" fontId="3" fillId="2" borderId="10" xfId="0" applyFont="1" applyFill="1" applyBorder="1" applyAlignment="1">
      <alignment horizontal="center" vertical="center" readingOrder="1"/>
    </xf>
    <xf numFmtId="0" fontId="3" fillId="2" borderId="8" xfId="0" applyFont="1" applyFill="1" applyBorder="1" applyAlignment="1">
      <alignment horizontal="center" vertical="center" readingOrder="1"/>
    </xf>
    <xf numFmtId="0" fontId="11" fillId="3" borderId="1" xfId="0" applyFont="1" applyFill="1" applyBorder="1" applyAlignment="1">
      <alignment horizontal="center" vertical="center" wrapText="1" readingOrder="1"/>
    </xf>
    <xf numFmtId="0" fontId="11" fillId="4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 readingOrder="1"/>
    </xf>
    <xf numFmtId="0" fontId="11" fillId="3" borderId="9" xfId="0" applyFont="1" applyFill="1" applyBorder="1" applyAlignment="1">
      <alignment horizontal="center" vertical="center" wrapText="1" readingOrder="1"/>
    </xf>
    <xf numFmtId="0" fontId="11" fillId="4" borderId="2" xfId="0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/>
    </xf>
    <xf numFmtId="0" fontId="11" fillId="4" borderId="10" xfId="0" applyFont="1" applyFill="1" applyBorder="1" applyAlignment="1">
      <alignment horizontal="center" vertical="center"/>
    </xf>
    <xf numFmtId="0" fontId="11" fillId="4" borderId="30" xfId="0" applyFont="1" applyFill="1" applyBorder="1" applyAlignment="1">
      <alignment horizontal="center" vertical="center"/>
    </xf>
    <xf numFmtId="0" fontId="11" fillId="4" borderId="32" xfId="0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22" fillId="2" borderId="7" xfId="0" applyFont="1" applyFill="1" applyBorder="1" applyAlignment="1">
      <alignment horizontal="center" vertical="center" readingOrder="1"/>
    </xf>
    <xf numFmtId="0" fontId="22" fillId="2" borderId="10" xfId="0" applyFont="1" applyFill="1" applyBorder="1" applyAlignment="1">
      <alignment horizontal="center" vertical="center" readingOrder="1"/>
    </xf>
    <xf numFmtId="0" fontId="22" fillId="2" borderId="8" xfId="0" applyFont="1" applyFill="1" applyBorder="1" applyAlignment="1">
      <alignment horizontal="center" vertical="center" readingOrder="1"/>
    </xf>
    <xf numFmtId="0" fontId="22" fillId="2" borderId="5" xfId="0" applyFont="1" applyFill="1" applyBorder="1" applyAlignment="1">
      <alignment horizontal="center" vertical="center" wrapText="1" readingOrder="1"/>
    </xf>
    <xf numFmtId="0" fontId="22" fillId="2" borderId="6" xfId="0" applyFont="1" applyFill="1" applyBorder="1" applyAlignment="1">
      <alignment horizontal="center" vertical="center" wrapText="1" readingOrder="1"/>
    </xf>
    <xf numFmtId="0" fontId="0" fillId="0" borderId="39" xfId="0" applyBorder="1" applyAlignment="1">
      <alignment horizontal="center"/>
    </xf>
    <xf numFmtId="0" fontId="0" fillId="0" borderId="0" xfId="0" applyAlignment="1">
      <alignment horizontal="center"/>
    </xf>
    <xf numFmtId="0" fontId="28" fillId="3" borderId="31" xfId="0" applyFont="1" applyFill="1" applyBorder="1" applyAlignment="1">
      <alignment horizontal="center" vertical="center"/>
    </xf>
    <xf numFmtId="0" fontId="28" fillId="3" borderId="40" xfId="0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center" vertical="center" wrapText="1" readingOrder="1"/>
    </xf>
    <xf numFmtId="0" fontId="12" fillId="3" borderId="14" xfId="0" applyFont="1" applyFill="1" applyBorder="1" applyAlignment="1">
      <alignment horizontal="center" vertical="center" wrapText="1" readingOrder="1"/>
    </xf>
    <xf numFmtId="0" fontId="12" fillId="3" borderId="15" xfId="0" applyFont="1" applyFill="1" applyBorder="1" applyAlignment="1">
      <alignment horizontal="center" vertical="center" wrapText="1" readingOrder="1"/>
    </xf>
    <xf numFmtId="0" fontId="5" fillId="0" borderId="19" xfId="0" applyFont="1" applyBorder="1" applyAlignment="1">
      <alignment horizontal="center" vertical="center" wrapText="1" readingOrder="1"/>
    </xf>
    <xf numFmtId="0" fontId="5" fillId="0" borderId="20" xfId="0" applyFont="1" applyBorder="1" applyAlignment="1">
      <alignment horizontal="center" vertical="center" wrapText="1" readingOrder="1"/>
    </xf>
    <xf numFmtId="0" fontId="5" fillId="0" borderId="4" xfId="0" applyFont="1" applyBorder="1" applyAlignment="1">
      <alignment horizontal="center" vertical="center" wrapText="1" readingOrder="1"/>
    </xf>
    <xf numFmtId="0" fontId="5" fillId="0" borderId="21" xfId="0" applyFont="1" applyBorder="1" applyAlignment="1">
      <alignment horizontal="center" vertical="center" wrapText="1" readingOrder="1"/>
    </xf>
    <xf numFmtId="0" fontId="8" fillId="0" borderId="19" xfId="0" applyFont="1" applyBorder="1" applyAlignment="1">
      <alignment horizontal="center" vertical="center" wrapText="1" readingOrder="1"/>
    </xf>
    <xf numFmtId="0" fontId="8" fillId="0" borderId="20" xfId="0" applyFont="1" applyBorder="1" applyAlignment="1">
      <alignment horizontal="center" vertical="center" wrapText="1" readingOrder="1"/>
    </xf>
    <xf numFmtId="0" fontId="8" fillId="0" borderId="4" xfId="0" applyFont="1" applyBorder="1" applyAlignment="1">
      <alignment horizontal="center" vertical="center" wrapText="1" readingOrder="1"/>
    </xf>
    <xf numFmtId="0" fontId="8" fillId="0" borderId="21" xfId="0" applyFont="1" applyBorder="1" applyAlignment="1">
      <alignment horizontal="center" vertical="center" wrapText="1" readingOrder="1"/>
    </xf>
    <xf numFmtId="0" fontId="9" fillId="0" borderId="24" xfId="0" applyFont="1" applyBorder="1" applyAlignment="1">
      <alignment horizontal="left" vertical="center" wrapText="1" readingOrder="1"/>
    </xf>
    <xf numFmtId="0" fontId="9" fillId="0" borderId="3" xfId="0" applyFont="1" applyBorder="1" applyAlignment="1">
      <alignment horizontal="left" vertical="center" wrapText="1" readingOrder="1"/>
    </xf>
    <xf numFmtId="0" fontId="9" fillId="0" borderId="25" xfId="0" applyFont="1" applyBorder="1" applyAlignment="1">
      <alignment horizontal="left" vertical="center" wrapText="1" readingOrder="1"/>
    </xf>
    <xf numFmtId="0" fontId="9" fillId="0" borderId="26" xfId="0" applyFont="1" applyBorder="1" applyAlignment="1">
      <alignment horizontal="left" vertical="center" wrapText="1" readingOrder="1"/>
    </xf>
    <xf numFmtId="0" fontId="5" fillId="0" borderId="22" xfId="0" applyFont="1" applyBorder="1" applyAlignment="1">
      <alignment horizontal="center" vertical="center" wrapText="1" readingOrder="1"/>
    </xf>
    <xf numFmtId="0" fontId="5" fillId="0" borderId="23" xfId="0" applyFont="1" applyBorder="1" applyAlignment="1">
      <alignment horizontal="center" vertical="center" wrapText="1" readingOrder="1"/>
    </xf>
    <xf numFmtId="0" fontId="5" fillId="0" borderId="24" xfId="0" applyFont="1" applyBorder="1" applyAlignment="1">
      <alignment horizontal="center" vertical="center" wrapText="1" readingOrder="1"/>
    </xf>
    <xf numFmtId="0" fontId="5" fillId="0" borderId="3" xfId="0" applyFont="1" applyBorder="1" applyAlignment="1">
      <alignment horizontal="center" vertical="center" wrapText="1" readingOrder="1"/>
    </xf>
    <xf numFmtId="0" fontId="5" fillId="0" borderId="25" xfId="0" applyFont="1" applyBorder="1" applyAlignment="1">
      <alignment horizontal="center" vertical="center" wrapText="1" readingOrder="1"/>
    </xf>
    <xf numFmtId="0" fontId="5" fillId="0" borderId="26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ysClr val="windowText" lastClr="000000"/>
                </a:solidFill>
              </a:rPr>
              <a:t>Lean Team Improvement Activity - Mar 2024</a:t>
            </a:r>
          </a:p>
        </c:rich>
      </c:tx>
      <c:layout>
        <c:manualLayout>
          <c:xMode val="edge"/>
          <c:yMode val="edge"/>
          <c:x val="0.16137575981589944"/>
          <c:y val="1.60188492664123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468389947275205E-2"/>
          <c:y val="0.15161425503484302"/>
          <c:w val="0.90253161005272475"/>
          <c:h val="0.58274340448210826"/>
        </c:manualLayout>
      </c:layout>
      <c:barChart>
        <c:barDir val="col"/>
        <c:grouping val="clustered"/>
        <c:varyColors val="0"/>
        <c:ser>
          <c:idx val="0"/>
          <c:order val="0"/>
          <c:tx>
            <c:v>Done</c:v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'Raw Data'!$F$2:$K$3</c:f>
              <c:multiLvlStrCache>
                <c:ptCount val="6"/>
                <c:lvl>
                  <c:pt idx="2">
                    <c:v>Week 10</c:v>
                  </c:pt>
                  <c:pt idx="3">
                    <c:v>Week 11</c:v>
                  </c:pt>
                  <c:pt idx="4">
                    <c:v>Week 12</c:v>
                  </c:pt>
                  <c:pt idx="5">
                    <c:v>Week 13</c:v>
                  </c:pt>
                </c:lvl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</c:lvl>
              </c:multiLvlStrCache>
            </c:multiLvlStrRef>
          </c:cat>
          <c:val>
            <c:numRef>
              <c:f>'Raw Data'!$F$4:$K$4</c:f>
              <c:numCache>
                <c:formatCode>General</c:formatCode>
                <c:ptCount val="6"/>
                <c:pt idx="0">
                  <c:v>56</c:v>
                </c:pt>
                <c:pt idx="1">
                  <c:v>27</c:v>
                </c:pt>
                <c:pt idx="2">
                  <c:v>16</c:v>
                </c:pt>
                <c:pt idx="3">
                  <c:v>20</c:v>
                </c:pt>
                <c:pt idx="4">
                  <c:v>15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42-4C41-B78D-091982D1FAC3}"/>
            </c:ext>
          </c:extLst>
        </c:ser>
        <c:ser>
          <c:idx val="1"/>
          <c:order val="1"/>
          <c:tx>
            <c:v>On going</c:v>
          </c:tx>
          <c:spPr>
            <a:solidFill>
              <a:srgbClr val="FFFF00"/>
            </a:solidFill>
            <a:ln>
              <a:solidFill>
                <a:srgbClr val="FFFF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'Raw Data'!$F$2:$K$3</c:f>
              <c:multiLvlStrCache>
                <c:ptCount val="6"/>
                <c:lvl>
                  <c:pt idx="2">
                    <c:v>Week 10</c:v>
                  </c:pt>
                  <c:pt idx="3">
                    <c:v>Week 11</c:v>
                  </c:pt>
                  <c:pt idx="4">
                    <c:v>Week 12</c:v>
                  </c:pt>
                  <c:pt idx="5">
                    <c:v>Week 13</c:v>
                  </c:pt>
                </c:lvl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</c:lvl>
              </c:multiLvlStrCache>
            </c:multiLvlStrRef>
          </c:cat>
          <c:val>
            <c:numRef>
              <c:f>'Raw Data'!$F$5:$K$5</c:f>
              <c:numCache>
                <c:formatCode>General</c:formatCode>
                <c:ptCount val="6"/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42-4C41-B78D-091982D1FA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0155968"/>
        <c:axId val="470156384"/>
      </c:barChart>
      <c:catAx>
        <c:axId val="47015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70156384"/>
        <c:crosses val="autoZero"/>
        <c:auto val="1"/>
        <c:lblAlgn val="ctr"/>
        <c:lblOffset val="100"/>
        <c:noMultiLvlLbl val="0"/>
      </c:catAx>
      <c:valAx>
        <c:axId val="47015638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70155968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/>
              <a:t>Lean Team Improvement Activity_Weekly</a:t>
            </a:r>
          </a:p>
        </c:rich>
      </c:tx>
      <c:layout>
        <c:manualLayout>
          <c:xMode val="edge"/>
          <c:yMode val="edge"/>
          <c:x val="0.2459236948610964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6487781081030545E-2"/>
          <c:y val="0.20688415695674459"/>
          <c:w val="0.95406886517119405"/>
          <c:h val="0.552715796749050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'hoạt động all'!$D$3</c:f>
              <c:strCache>
                <c:ptCount val="1"/>
                <c:pt idx="0">
                  <c:v>Done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'hoạt động all'!$E$2:$H$2</c:f>
              <c:strCache>
                <c:ptCount val="4"/>
                <c:pt idx="0">
                  <c:v>Week47
(W3_11)</c:v>
                </c:pt>
                <c:pt idx="1">
                  <c:v>Week48
(W4_11)</c:v>
                </c:pt>
                <c:pt idx="2">
                  <c:v>Week49
(W1_12)</c:v>
                </c:pt>
                <c:pt idx="3">
                  <c:v>Week50
(W2_12)</c:v>
                </c:pt>
              </c:strCache>
            </c:strRef>
          </c:cat>
          <c:val>
            <c:numRef>
              <c:f>'hoạt động all'!$E$3:$H$3</c:f>
              <c:numCache>
                <c:formatCode>General</c:formatCode>
                <c:ptCount val="4"/>
                <c:pt idx="0">
                  <c:v>21</c:v>
                </c:pt>
                <c:pt idx="1">
                  <c:v>23</c:v>
                </c:pt>
                <c:pt idx="2">
                  <c:v>22</c:v>
                </c:pt>
                <c:pt idx="3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82-4931-8A80-BAC475318215}"/>
            </c:ext>
          </c:extLst>
        </c:ser>
        <c:ser>
          <c:idx val="1"/>
          <c:order val="1"/>
          <c:tx>
            <c:strRef>
              <c:f>'hoạt động all'!$D$4</c:f>
              <c:strCache>
                <c:ptCount val="1"/>
                <c:pt idx="0">
                  <c:v>On going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rgbClr val="FFFF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'hoạt động all'!$E$2:$H$2</c:f>
              <c:strCache>
                <c:ptCount val="4"/>
                <c:pt idx="0">
                  <c:v>Week47
(W3_11)</c:v>
                </c:pt>
                <c:pt idx="1">
                  <c:v>Week48
(W4_11)</c:v>
                </c:pt>
                <c:pt idx="2">
                  <c:v>Week49
(W1_12)</c:v>
                </c:pt>
                <c:pt idx="3">
                  <c:v>Week50
(W2_12)</c:v>
                </c:pt>
              </c:strCache>
            </c:strRef>
          </c:cat>
          <c:val>
            <c:numRef>
              <c:f>'hoạt động all'!$E$4:$H$4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1-3982-4931-8A80-BAC475318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9195119"/>
        <c:axId val="1299195535"/>
      </c:barChart>
      <c:catAx>
        <c:axId val="1299195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99195535"/>
        <c:crosses val="autoZero"/>
        <c:auto val="1"/>
        <c:lblAlgn val="ctr"/>
        <c:lblOffset val="100"/>
        <c:noMultiLvlLbl val="0"/>
      </c:catAx>
      <c:valAx>
        <c:axId val="1299195535"/>
        <c:scaling>
          <c:orientation val="minMax"/>
          <c:min val="0"/>
        </c:scaling>
        <c:delete val="1"/>
        <c:axPos val="l"/>
        <c:numFmt formatCode="General" sourceLinked="1"/>
        <c:majorTickMark val="none"/>
        <c:minorTickMark val="none"/>
        <c:tickLblPos val="nextTo"/>
        <c:crossAx val="1299195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0131779496098396"/>
          <c:y val="0.91271781334981084"/>
          <c:w val="0.19736423996973435"/>
          <c:h val="8.72821866501891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/>
              <a:t>Improvement Issues_Weekly</a:t>
            </a:r>
          </a:p>
        </c:rich>
      </c:tx>
      <c:layout>
        <c:manualLayout>
          <c:xMode val="edge"/>
          <c:yMode val="edge"/>
          <c:x val="0.4035692290397174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4419942126689941E-2"/>
          <c:y val="0.17769230769230768"/>
          <c:w val="0.97163670496331267"/>
          <c:h val="0.55423258631132644"/>
        </c:manualLayout>
      </c:layout>
      <c:lineChart>
        <c:grouping val="standard"/>
        <c:varyColors val="0"/>
        <c:ser>
          <c:idx val="0"/>
          <c:order val="0"/>
          <c:tx>
            <c:strRef>
              <c:f>'hoạt động all'!$M$9</c:f>
              <c:strCache>
                <c:ptCount val="1"/>
                <c:pt idx="0">
                  <c:v>6S ( S1 - Sort 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'hoạt động all'!$N$8:$Q$8</c:f>
              <c:strCache>
                <c:ptCount val="4"/>
                <c:pt idx="0">
                  <c:v>Week47
(W3_11)</c:v>
                </c:pt>
                <c:pt idx="1">
                  <c:v>Week48
(W4_11)</c:v>
                </c:pt>
                <c:pt idx="2">
                  <c:v>Week49
(W1_12)</c:v>
                </c:pt>
                <c:pt idx="3">
                  <c:v>Week50
(W2_12)</c:v>
                </c:pt>
              </c:strCache>
            </c:strRef>
          </c:cat>
          <c:val>
            <c:numRef>
              <c:f>'hoạt động all'!$N$9:$Q$9</c:f>
              <c:numCache>
                <c:formatCode>General</c:formatCode>
                <c:ptCount val="4"/>
                <c:pt idx="0">
                  <c:v>21</c:v>
                </c:pt>
                <c:pt idx="1">
                  <c:v>23</c:v>
                </c:pt>
                <c:pt idx="2">
                  <c:v>22</c:v>
                </c:pt>
                <c:pt idx="3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9C-4700-A3FC-99CD095ABE3A}"/>
            </c:ext>
          </c:extLst>
        </c:ser>
        <c:ser>
          <c:idx val="1"/>
          <c:order val="1"/>
          <c:tx>
            <c:strRef>
              <c:f>'hoạt động all'!$M$10</c:f>
              <c:strCache>
                <c:ptCount val="1"/>
                <c:pt idx="0">
                  <c:v>Quality Issue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'hoạt động all'!$N$8:$Q$8</c:f>
              <c:strCache>
                <c:ptCount val="4"/>
                <c:pt idx="0">
                  <c:v>Week47
(W3_11)</c:v>
                </c:pt>
                <c:pt idx="1">
                  <c:v>Week48
(W4_11)</c:v>
                </c:pt>
                <c:pt idx="2">
                  <c:v>Week49
(W1_12)</c:v>
                </c:pt>
                <c:pt idx="3">
                  <c:v>Week50
(W2_12)</c:v>
                </c:pt>
              </c:strCache>
            </c:strRef>
          </c:cat>
          <c:val>
            <c:numRef>
              <c:f>'hoạt động all'!$N$10:$Q$10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9C-4700-A3FC-99CD095AB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1985503"/>
        <c:axId val="1291990495"/>
      </c:lineChart>
      <c:catAx>
        <c:axId val="1291985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91990495"/>
        <c:crosses val="autoZero"/>
        <c:auto val="1"/>
        <c:lblAlgn val="ctr"/>
        <c:lblOffset val="100"/>
        <c:noMultiLvlLbl val="0"/>
      </c:catAx>
      <c:valAx>
        <c:axId val="129199049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91985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0194708670448659E-2"/>
          <c:y val="0.11556153846153844"/>
          <c:w val="0.92941766359575984"/>
          <c:h val="0.684023717948718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'Kaizen activity '!$D$5</c:f>
              <c:strCache>
                <c:ptCount val="1"/>
                <c:pt idx="0">
                  <c:v>Basic suggestion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'Kaizen activity '!$A$6:$A$17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'Kaizen activity '!$D$6:$D$17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CC9C-43E3-A578-A64A117D1152}"/>
            </c:ext>
          </c:extLst>
        </c:ser>
        <c:ser>
          <c:idx val="1"/>
          <c:order val="1"/>
          <c:tx>
            <c:strRef>
              <c:f>'Kaizen activity '!$E$5</c:f>
              <c:strCache>
                <c:ptCount val="1"/>
                <c:pt idx="0">
                  <c:v>Basic kaizen
(Daily based)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'Kaizen activity '!$A$6:$A$17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'Kaizen activity '!$E$6:$E$17</c:f>
              <c:numCache>
                <c:formatCode>General</c:formatCode>
                <c:ptCount val="12"/>
                <c:pt idx="0">
                  <c:v>25</c:v>
                </c:pt>
                <c:pt idx="1">
                  <c:v>38</c:v>
                </c:pt>
                <c:pt idx="2">
                  <c:v>38</c:v>
                </c:pt>
                <c:pt idx="3">
                  <c:v>46</c:v>
                </c:pt>
                <c:pt idx="4">
                  <c:v>28</c:v>
                </c:pt>
                <c:pt idx="5">
                  <c:v>24</c:v>
                </c:pt>
                <c:pt idx="6">
                  <c:v>33</c:v>
                </c:pt>
                <c:pt idx="7">
                  <c:v>35</c:v>
                </c:pt>
                <c:pt idx="8">
                  <c:v>50</c:v>
                </c:pt>
                <c:pt idx="9">
                  <c:v>64</c:v>
                </c:pt>
                <c:pt idx="10">
                  <c:v>45</c:v>
                </c:pt>
                <c:pt idx="11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9C-43E3-A578-A64A117D1152}"/>
            </c:ext>
          </c:extLst>
        </c:ser>
        <c:ser>
          <c:idx val="2"/>
          <c:order val="2"/>
          <c:tx>
            <c:strRef>
              <c:f>'Kaizen activity '!$F$5</c:f>
              <c:strCache>
                <c:ptCount val="1"/>
                <c:pt idx="0">
                  <c:v>Intermediate kaizen
(Weekly based)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accent6">
                  <a:lumMod val="60000"/>
                  <a:lumOff val="4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'Kaizen activity '!$A$6:$A$17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'Kaizen activity '!$F$6:$F$17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2-CC9C-43E3-A578-A64A117D1152}"/>
            </c:ext>
          </c:extLst>
        </c:ser>
        <c:ser>
          <c:idx val="3"/>
          <c:order val="3"/>
          <c:tx>
            <c:strRef>
              <c:f>'Kaizen activity '!$G$5</c:f>
              <c:strCache>
                <c:ptCount val="1"/>
                <c:pt idx="0">
                  <c:v>Advance kaizen
(Monthly based)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'Kaizen activity '!$A$6:$A$17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'Kaizen activity '!$G$6:$G$17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3-CC9C-43E3-A578-A64A117D1152}"/>
            </c:ext>
          </c:extLst>
        </c:ser>
        <c:ser>
          <c:idx val="4"/>
          <c:order val="4"/>
          <c:tx>
            <c:strRef>
              <c:f>'Kaizen activity '!$H$5</c:f>
              <c:strCache>
                <c:ptCount val="1"/>
                <c:pt idx="0">
                  <c:v>Best kaizen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'Kaizen activity '!$A$6:$A$17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'Kaizen activity '!$H$6:$H$17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4-CC9C-43E3-A578-A64A117D11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72"/>
        <c:axId val="1330902271"/>
        <c:axId val="1330902687"/>
      </c:barChart>
      <c:catAx>
        <c:axId val="13309022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30902687"/>
        <c:crosses val="autoZero"/>
        <c:auto val="1"/>
        <c:lblAlgn val="ctr"/>
        <c:lblOffset val="100"/>
        <c:noMultiLvlLbl val="0"/>
      </c:catAx>
      <c:valAx>
        <c:axId val="1330902687"/>
        <c:scaling>
          <c:orientation val="minMax"/>
          <c:max val="65"/>
          <c:min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1330902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9793719102077861"/>
          <c:y val="0.8614590440038643"/>
          <c:w val="0.62159275425423266"/>
          <c:h val="0.112482324074311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138952</xdr:colOff>
      <xdr:row>8</xdr:row>
      <xdr:rowOff>257736</xdr:rowOff>
    </xdr:from>
    <xdr:to>
      <xdr:col>28</xdr:col>
      <xdr:colOff>100852</xdr:colOff>
      <xdr:row>17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431425</xdr:colOff>
      <xdr:row>0</xdr:row>
      <xdr:rowOff>108699</xdr:rowOff>
    </xdr:from>
    <xdr:to>
      <xdr:col>19</xdr:col>
      <xdr:colOff>61633</xdr:colOff>
      <xdr:row>6</xdr:row>
      <xdr:rowOff>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224118</xdr:colOff>
      <xdr:row>10</xdr:row>
      <xdr:rowOff>72838</xdr:rowOff>
    </xdr:from>
    <xdr:to>
      <xdr:col>19</xdr:col>
      <xdr:colOff>538444</xdr:colOff>
      <xdr:row>16</xdr:row>
      <xdr:rowOff>263338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687300</xdr:colOff>
      <xdr:row>20</xdr:row>
      <xdr:rowOff>278258</xdr:rowOff>
    </xdr:from>
    <xdr:to>
      <xdr:col>8</xdr:col>
      <xdr:colOff>58649</xdr:colOff>
      <xdr:row>44</xdr:row>
      <xdr:rowOff>35225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1619250</xdr:colOff>
      <xdr:row>6</xdr:row>
      <xdr:rowOff>419100</xdr:rowOff>
    </xdr:from>
    <xdr:to>
      <xdr:col>3</xdr:col>
      <xdr:colOff>3362568</xdr:colOff>
      <xdr:row>6</xdr:row>
      <xdr:rowOff>1533681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96150" y="2314575"/>
          <a:ext cx="1743318" cy="11145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AA22"/>
  <sheetViews>
    <sheetView zoomScale="85" zoomScaleNormal="85" workbookViewId="0">
      <selection activeCell="O19" sqref="O19"/>
    </sheetView>
  </sheetViews>
  <sheetFormatPr defaultRowHeight="30" customHeight="1" x14ac:dyDescent="0.2"/>
  <cols>
    <col min="1" max="1" width="1.7109375" style="2" customWidth="1"/>
    <col min="2" max="2" width="2.28515625" style="2" customWidth="1"/>
    <col min="3" max="3" width="9.140625" style="2"/>
    <col min="4" max="4" width="17.7109375" style="2" customWidth="1"/>
    <col min="5" max="5" width="23.28515625" style="2" customWidth="1"/>
    <col min="6" max="24" width="11.28515625" style="2" customWidth="1"/>
    <col min="25" max="25" width="11.7109375" style="2" customWidth="1"/>
    <col min="26" max="26" width="10" style="2" customWidth="1"/>
    <col min="27" max="28" width="9.140625" style="2"/>
    <col min="29" max="29" width="19" style="2" customWidth="1"/>
    <col min="30" max="30" width="9.140625" style="2"/>
    <col min="31" max="32" width="11.5703125" style="2" bestFit="1" customWidth="1"/>
    <col min="33" max="16384" width="9.140625" style="2"/>
  </cols>
  <sheetData>
    <row r="2" spans="3:27" ht="30" customHeight="1" x14ac:dyDescent="0.2">
      <c r="D2" s="83" t="s">
        <v>15</v>
      </c>
      <c r="E2" s="85" t="s">
        <v>1</v>
      </c>
      <c r="F2" s="96" t="s">
        <v>27</v>
      </c>
      <c r="G2" s="96" t="s">
        <v>25</v>
      </c>
      <c r="H2" s="100" t="s">
        <v>26</v>
      </c>
      <c r="I2" s="101"/>
      <c r="J2" s="101"/>
      <c r="K2" s="101"/>
      <c r="L2" s="98" t="s">
        <v>47</v>
      </c>
      <c r="M2" s="99"/>
      <c r="N2" s="99"/>
      <c r="O2" s="102"/>
      <c r="P2" s="92" t="s">
        <v>17</v>
      </c>
    </row>
    <row r="3" spans="3:27" ht="30" customHeight="1" x14ac:dyDescent="0.2">
      <c r="D3" s="84"/>
      <c r="E3" s="86"/>
      <c r="F3" s="97"/>
      <c r="G3" s="97"/>
      <c r="H3" s="26" t="s">
        <v>43</v>
      </c>
      <c r="I3" s="26" t="s">
        <v>44</v>
      </c>
      <c r="J3" s="26" t="s">
        <v>45</v>
      </c>
      <c r="K3" s="25" t="s">
        <v>46</v>
      </c>
      <c r="L3" s="26" t="s">
        <v>48</v>
      </c>
      <c r="M3" s="26" t="s">
        <v>49</v>
      </c>
      <c r="N3" s="26" t="s">
        <v>50</v>
      </c>
      <c r="O3" s="26" t="s">
        <v>51</v>
      </c>
      <c r="P3" s="93"/>
    </row>
    <row r="4" spans="3:27" s="3" customFormat="1" ht="30" customHeight="1" x14ac:dyDescent="0.25">
      <c r="D4" s="4">
        <v>1</v>
      </c>
      <c r="E4" s="1" t="s">
        <v>9</v>
      </c>
      <c r="F4" s="1">
        <v>56</v>
      </c>
      <c r="G4" s="1">
        <v>27</v>
      </c>
      <c r="H4" s="27">
        <v>16</v>
      </c>
      <c r="I4" s="27">
        <v>20</v>
      </c>
      <c r="J4" s="27">
        <v>15</v>
      </c>
      <c r="K4" s="4">
        <v>10</v>
      </c>
      <c r="L4" s="5"/>
      <c r="M4" s="5"/>
      <c r="N4" s="5"/>
      <c r="O4" s="5"/>
      <c r="P4" s="29">
        <f>SUM(F4:K4)</f>
        <v>144</v>
      </c>
    </row>
    <row r="5" spans="3:27" s="3" customFormat="1" ht="30" customHeight="1" x14ac:dyDescent="0.2">
      <c r="D5" s="4">
        <v>2</v>
      </c>
      <c r="E5" s="1" t="s">
        <v>5</v>
      </c>
      <c r="F5" s="8"/>
      <c r="G5" s="1">
        <v>1</v>
      </c>
      <c r="H5" s="27">
        <v>3</v>
      </c>
      <c r="I5" s="27">
        <v>1</v>
      </c>
      <c r="J5" s="28"/>
      <c r="K5" s="4">
        <v>3</v>
      </c>
      <c r="L5" s="5"/>
      <c r="M5" s="5"/>
      <c r="N5" s="5"/>
      <c r="O5" s="5"/>
      <c r="P5" s="29">
        <f>SUM(F5:K5)</f>
        <v>8</v>
      </c>
    </row>
    <row r="6" spans="3:27" s="3" customFormat="1" ht="30" customHeight="1" x14ac:dyDescent="0.25">
      <c r="D6" s="81" t="s">
        <v>17</v>
      </c>
      <c r="E6" s="82"/>
      <c r="F6" s="6">
        <f>+F4+F5</f>
        <v>56</v>
      </c>
      <c r="G6" s="6">
        <f>+G4+G5</f>
        <v>28</v>
      </c>
      <c r="H6" s="6">
        <f>+H4+H5</f>
        <v>19</v>
      </c>
      <c r="I6" s="6">
        <f t="shared" ref="I6:J6" si="0">+I4+I5</f>
        <v>21</v>
      </c>
      <c r="J6" s="6">
        <f t="shared" si="0"/>
        <v>15</v>
      </c>
      <c r="K6" s="23">
        <f>+K4+K5</f>
        <v>13</v>
      </c>
      <c r="L6" s="23">
        <f t="shared" ref="L6:O6" si="1">+L4+L5</f>
        <v>0</v>
      </c>
      <c r="M6" s="23">
        <f t="shared" si="1"/>
        <v>0</v>
      </c>
      <c r="N6" s="23">
        <f t="shared" si="1"/>
        <v>0</v>
      </c>
      <c r="O6" s="23">
        <f t="shared" si="1"/>
        <v>0</v>
      </c>
      <c r="P6" s="7">
        <f>+P4+P5</f>
        <v>152</v>
      </c>
    </row>
    <row r="7" spans="3:27" s="3" customFormat="1" ht="30" customHeight="1" x14ac:dyDescent="0.25">
      <c r="AA7"/>
    </row>
    <row r="8" spans="3:27" ht="30" customHeight="1" x14ac:dyDescent="0.25">
      <c r="AA8"/>
    </row>
    <row r="9" spans="3:27" ht="30" customHeight="1" x14ac:dyDescent="0.2">
      <c r="C9" s="90" t="s">
        <v>15</v>
      </c>
      <c r="D9" s="91" t="s">
        <v>0</v>
      </c>
      <c r="E9" s="91" t="s">
        <v>2</v>
      </c>
      <c r="F9" s="85" t="s">
        <v>27</v>
      </c>
      <c r="G9" s="96" t="s">
        <v>25</v>
      </c>
      <c r="H9" s="98" t="s">
        <v>26</v>
      </c>
      <c r="I9" s="99"/>
      <c r="J9" s="99"/>
      <c r="K9" s="99"/>
      <c r="L9" s="91" t="s">
        <v>47</v>
      </c>
      <c r="M9" s="91"/>
      <c r="N9" s="91"/>
      <c r="O9" s="91"/>
      <c r="P9" s="94" t="s">
        <v>16</v>
      </c>
    </row>
    <row r="10" spans="3:27" ht="30" customHeight="1" x14ac:dyDescent="0.2">
      <c r="C10" s="90"/>
      <c r="D10" s="91"/>
      <c r="E10" s="91"/>
      <c r="F10" s="86"/>
      <c r="G10" s="97"/>
      <c r="H10" s="24" t="s">
        <v>43</v>
      </c>
      <c r="I10" s="24" t="s">
        <v>44</v>
      </c>
      <c r="J10" s="24" t="s">
        <v>45</v>
      </c>
      <c r="K10" s="24" t="s">
        <v>46</v>
      </c>
      <c r="L10" s="26" t="s">
        <v>48</v>
      </c>
      <c r="M10" s="26" t="s">
        <v>49</v>
      </c>
      <c r="N10" s="26" t="s">
        <v>50</v>
      </c>
      <c r="O10" s="26" t="s">
        <v>51</v>
      </c>
      <c r="P10" s="95"/>
    </row>
    <row r="11" spans="3:27" s="3" customFormat="1" ht="30" customHeight="1" x14ac:dyDescent="0.25">
      <c r="C11" s="5">
        <v>1</v>
      </c>
      <c r="D11" s="1" t="s">
        <v>8</v>
      </c>
      <c r="E11" s="1" t="s">
        <v>7</v>
      </c>
      <c r="F11" s="1">
        <v>30</v>
      </c>
      <c r="G11" s="1">
        <v>15</v>
      </c>
      <c r="H11" s="27">
        <v>10</v>
      </c>
      <c r="I11" s="27">
        <v>3</v>
      </c>
      <c r="J11" s="27">
        <v>3</v>
      </c>
      <c r="K11" s="27">
        <v>6</v>
      </c>
      <c r="L11" s="30"/>
      <c r="M11" s="30"/>
      <c r="N11" s="30"/>
      <c r="O11" s="31"/>
      <c r="P11" s="7">
        <f>+SUM(F11:O11)</f>
        <v>67</v>
      </c>
    </row>
    <row r="12" spans="3:27" s="3" customFormat="1" ht="30" customHeight="1" x14ac:dyDescent="0.25">
      <c r="C12" s="5">
        <f>1+C11</f>
        <v>2</v>
      </c>
      <c r="D12" s="1" t="s">
        <v>8</v>
      </c>
      <c r="E12" s="1" t="s">
        <v>24</v>
      </c>
      <c r="F12" s="1"/>
      <c r="G12" s="1"/>
      <c r="H12" s="27"/>
      <c r="I12" s="27"/>
      <c r="J12" s="27"/>
      <c r="K12" s="27"/>
      <c r="L12" s="27"/>
      <c r="M12" s="27"/>
      <c r="N12" s="27"/>
      <c r="O12" s="32"/>
      <c r="P12" s="7">
        <f t="shared" ref="P12:P21" si="2">+SUM(F12:O12)</f>
        <v>0</v>
      </c>
    </row>
    <row r="13" spans="3:27" s="3" customFormat="1" ht="30" customHeight="1" x14ac:dyDescent="0.25">
      <c r="C13" s="5">
        <f t="shared" ref="C13:C21" si="3">1+C12</f>
        <v>3</v>
      </c>
      <c r="D13" s="1" t="s">
        <v>8</v>
      </c>
      <c r="E13" s="1" t="s">
        <v>6</v>
      </c>
      <c r="F13" s="1">
        <v>2</v>
      </c>
      <c r="G13" s="1">
        <v>2</v>
      </c>
      <c r="H13" s="27"/>
      <c r="I13" s="27"/>
      <c r="J13" s="27"/>
      <c r="K13" s="27"/>
      <c r="L13" s="27"/>
      <c r="M13" s="27"/>
      <c r="N13" s="27"/>
      <c r="O13" s="32"/>
      <c r="P13" s="7">
        <f t="shared" si="2"/>
        <v>4</v>
      </c>
    </row>
    <row r="14" spans="3:27" s="3" customFormat="1" ht="30" customHeight="1" x14ac:dyDescent="0.25">
      <c r="C14" s="5">
        <f t="shared" si="3"/>
        <v>4</v>
      </c>
      <c r="D14" s="1" t="s">
        <v>14</v>
      </c>
      <c r="E14" s="1" t="s">
        <v>7</v>
      </c>
      <c r="F14" s="1"/>
      <c r="G14" s="1"/>
      <c r="H14" s="27"/>
      <c r="I14" s="27"/>
      <c r="J14" s="27"/>
      <c r="K14" s="27"/>
      <c r="L14" s="27"/>
      <c r="M14" s="27"/>
      <c r="N14" s="27"/>
      <c r="O14" s="32"/>
      <c r="P14" s="7">
        <f t="shared" si="2"/>
        <v>0</v>
      </c>
    </row>
    <row r="15" spans="3:27" s="3" customFormat="1" ht="30" customHeight="1" x14ac:dyDescent="0.25">
      <c r="C15" s="5">
        <f t="shared" si="3"/>
        <v>5</v>
      </c>
      <c r="D15" s="1" t="s">
        <v>11</v>
      </c>
      <c r="E15" s="1" t="s">
        <v>7</v>
      </c>
      <c r="F15" s="1">
        <v>20</v>
      </c>
      <c r="G15" s="9">
        <v>10</v>
      </c>
      <c r="H15" s="27">
        <v>9</v>
      </c>
      <c r="I15" s="27">
        <v>17</v>
      </c>
      <c r="J15" s="27">
        <v>12</v>
      </c>
      <c r="K15" s="27">
        <v>6</v>
      </c>
      <c r="L15" s="27"/>
      <c r="M15" s="27"/>
      <c r="N15" s="27"/>
      <c r="O15" s="32"/>
      <c r="P15" s="7">
        <f t="shared" si="2"/>
        <v>74</v>
      </c>
    </row>
    <row r="16" spans="3:27" s="3" customFormat="1" ht="30" customHeight="1" x14ac:dyDescent="0.25">
      <c r="C16" s="5">
        <f t="shared" si="3"/>
        <v>6</v>
      </c>
      <c r="D16" s="1" t="s">
        <v>11</v>
      </c>
      <c r="E16" s="1" t="s">
        <v>6</v>
      </c>
      <c r="F16" s="1">
        <v>1</v>
      </c>
      <c r="G16" s="9">
        <v>1</v>
      </c>
      <c r="H16" s="27"/>
      <c r="I16" s="27">
        <v>1</v>
      </c>
      <c r="J16" s="27"/>
      <c r="K16" s="27">
        <v>1</v>
      </c>
      <c r="L16" s="27"/>
      <c r="M16" s="27"/>
      <c r="N16" s="27"/>
      <c r="O16" s="32"/>
      <c r="P16" s="7">
        <f t="shared" si="2"/>
        <v>4</v>
      </c>
    </row>
    <row r="17" spans="3:22" s="3" customFormat="1" ht="30" customHeight="1" x14ac:dyDescent="0.25">
      <c r="C17" s="5">
        <f t="shared" si="3"/>
        <v>7</v>
      </c>
      <c r="D17" s="1" t="s">
        <v>13</v>
      </c>
      <c r="E17" s="1" t="s">
        <v>6</v>
      </c>
      <c r="F17" s="1"/>
      <c r="G17" s="1"/>
      <c r="H17" s="27"/>
      <c r="I17" s="27"/>
      <c r="J17" s="27"/>
      <c r="K17" s="27"/>
      <c r="L17" s="27"/>
      <c r="M17" s="27"/>
      <c r="N17" s="27"/>
      <c r="O17" s="32"/>
      <c r="P17" s="7">
        <f t="shared" si="2"/>
        <v>0</v>
      </c>
    </row>
    <row r="18" spans="3:22" s="3" customFormat="1" ht="30" customHeight="1" x14ac:dyDescent="0.25">
      <c r="C18" s="5">
        <f t="shared" si="3"/>
        <v>8</v>
      </c>
      <c r="D18" s="1" t="s">
        <v>21</v>
      </c>
      <c r="E18" s="1" t="s">
        <v>7</v>
      </c>
      <c r="F18" s="1"/>
      <c r="G18" s="1"/>
      <c r="H18" s="27"/>
      <c r="I18" s="27"/>
      <c r="J18" s="27"/>
      <c r="K18" s="27"/>
      <c r="L18" s="27"/>
      <c r="M18" s="27"/>
      <c r="N18" s="27"/>
      <c r="O18" s="32"/>
      <c r="P18" s="7">
        <f t="shared" si="2"/>
        <v>0</v>
      </c>
    </row>
    <row r="19" spans="3:22" s="3" customFormat="1" ht="30" customHeight="1" x14ac:dyDescent="0.25">
      <c r="C19" s="5">
        <f t="shared" si="3"/>
        <v>9</v>
      </c>
      <c r="D19" s="1" t="s">
        <v>22</v>
      </c>
      <c r="E19" s="1" t="s">
        <v>7</v>
      </c>
      <c r="F19" s="1"/>
      <c r="G19" s="1"/>
      <c r="H19" s="27"/>
      <c r="I19" s="27"/>
      <c r="J19" s="27"/>
      <c r="K19" s="27"/>
      <c r="L19" s="27"/>
      <c r="M19" s="27"/>
      <c r="N19" s="27"/>
      <c r="O19" s="32"/>
      <c r="P19" s="7">
        <f t="shared" si="2"/>
        <v>0</v>
      </c>
    </row>
    <row r="20" spans="3:22" s="3" customFormat="1" ht="30" customHeight="1" x14ac:dyDescent="0.25">
      <c r="C20" s="5">
        <f t="shared" si="3"/>
        <v>10</v>
      </c>
      <c r="D20" s="1" t="s">
        <v>23</v>
      </c>
      <c r="E20" s="1" t="s">
        <v>7</v>
      </c>
      <c r="F20" s="1"/>
      <c r="G20" s="1"/>
      <c r="H20" s="27"/>
      <c r="I20" s="27"/>
      <c r="J20" s="27"/>
      <c r="K20" s="27"/>
      <c r="L20" s="27"/>
      <c r="M20" s="27"/>
      <c r="N20" s="27"/>
      <c r="O20" s="32"/>
      <c r="P20" s="7">
        <f t="shared" si="2"/>
        <v>0</v>
      </c>
    </row>
    <row r="21" spans="3:22" s="3" customFormat="1" ht="30" customHeight="1" x14ac:dyDescent="0.25">
      <c r="C21" s="5">
        <f t="shared" si="3"/>
        <v>11</v>
      </c>
      <c r="D21" s="1" t="s">
        <v>10</v>
      </c>
      <c r="E21" s="1" t="s">
        <v>7</v>
      </c>
      <c r="F21" s="1">
        <v>3</v>
      </c>
      <c r="G21" s="9"/>
      <c r="H21" s="27"/>
      <c r="I21" s="27"/>
      <c r="J21" s="27"/>
      <c r="K21" s="27"/>
      <c r="L21" s="33"/>
      <c r="M21" s="33"/>
      <c r="N21" s="33"/>
      <c r="O21" s="34"/>
      <c r="P21" s="7">
        <f t="shared" si="2"/>
        <v>3</v>
      </c>
      <c r="U21" s="11"/>
    </row>
    <row r="22" spans="3:22" ht="30" customHeight="1" x14ac:dyDescent="0.2">
      <c r="C22" s="87" t="s">
        <v>17</v>
      </c>
      <c r="D22" s="88"/>
      <c r="E22" s="89"/>
      <c r="F22" s="7">
        <f t="shared" ref="F22" si="4">+SUM(F11:F21)</f>
        <v>56</v>
      </c>
      <c r="G22" s="7">
        <f t="shared" ref="G22" si="5">+SUM(G11:G21)</f>
        <v>28</v>
      </c>
      <c r="H22" s="7">
        <f>+SUM(H11:H21)</f>
        <v>19</v>
      </c>
      <c r="I22" s="7">
        <f t="shared" ref="I22" si="6">+SUM(I11:I21)</f>
        <v>21</v>
      </c>
      <c r="J22" s="7">
        <f>+SUM(J11:J21)</f>
        <v>15</v>
      </c>
      <c r="K22" s="7">
        <f>+SUM(K11:K21)</f>
        <v>13</v>
      </c>
      <c r="L22" s="7">
        <f t="shared" ref="L22:N22" si="7">+SUM(L11:L21)</f>
        <v>0</v>
      </c>
      <c r="M22" s="7">
        <f t="shared" si="7"/>
        <v>0</v>
      </c>
      <c r="N22" s="7">
        <f t="shared" si="7"/>
        <v>0</v>
      </c>
      <c r="O22" s="7">
        <f>+SUM(O11:O21)</f>
        <v>0</v>
      </c>
      <c r="P22" s="7">
        <f>+SUM(P11:P21)</f>
        <v>152</v>
      </c>
      <c r="Q22" s="3"/>
      <c r="R22" s="3"/>
      <c r="U22" s="11"/>
      <c r="V22" s="10"/>
    </row>
  </sheetData>
  <mergeCells count="17">
    <mergeCell ref="P2:P3"/>
    <mergeCell ref="P9:P10"/>
    <mergeCell ref="F2:F3"/>
    <mergeCell ref="G2:G3"/>
    <mergeCell ref="F9:F10"/>
    <mergeCell ref="G9:G10"/>
    <mergeCell ref="H9:K9"/>
    <mergeCell ref="H2:K2"/>
    <mergeCell ref="L2:O2"/>
    <mergeCell ref="L9:O9"/>
    <mergeCell ref="D6:E6"/>
    <mergeCell ref="D2:D3"/>
    <mergeCell ref="E2:E3"/>
    <mergeCell ref="C22:E22"/>
    <mergeCell ref="C9:C10"/>
    <mergeCell ref="D9:D10"/>
    <mergeCell ref="E9:E10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AJ33"/>
  <sheetViews>
    <sheetView tabSelected="1" topLeftCell="J1" zoomScale="98" zoomScaleNormal="98" workbookViewId="0">
      <selection activeCell="AJ4" sqref="AJ4"/>
    </sheetView>
  </sheetViews>
  <sheetFormatPr defaultRowHeight="30" customHeight="1" x14ac:dyDescent="0.2"/>
  <cols>
    <col min="1" max="1" width="1.7109375" style="42" customWidth="1"/>
    <col min="2" max="2" width="9.140625" style="42"/>
    <col min="3" max="3" width="16.7109375" style="42" customWidth="1"/>
    <col min="4" max="4" width="22.5703125" style="42" customWidth="1"/>
    <col min="5" max="9" width="12" style="42" customWidth="1"/>
    <col min="10" max="13" width="10.85546875" style="42" customWidth="1"/>
    <col min="14" max="17" width="9.42578125" style="42" customWidth="1"/>
    <col min="18" max="18" width="12.140625" style="42" customWidth="1"/>
    <col min="19" max="19" width="11.28515625" style="42" customWidth="1"/>
    <col min="20" max="20" width="11.7109375" style="42" customWidth="1"/>
    <col min="21" max="21" width="9.140625" style="42" customWidth="1"/>
    <col min="22" max="22" width="12" style="42" customWidth="1"/>
    <col min="23" max="24" width="12.42578125" style="42" customWidth="1"/>
    <col min="25" max="32" width="8.5703125" style="42" customWidth="1"/>
    <col min="33" max="16384" width="9.140625" style="42"/>
  </cols>
  <sheetData>
    <row r="1" spans="2:36" ht="16.5" customHeight="1" x14ac:dyDescent="0.2">
      <c r="J1" s="48" t="s">
        <v>67</v>
      </c>
    </row>
    <row r="2" spans="2:36" s="44" customFormat="1" ht="30" customHeight="1" x14ac:dyDescent="0.25">
      <c r="C2" s="69" t="s">
        <v>65</v>
      </c>
      <c r="D2" s="70" t="s">
        <v>1</v>
      </c>
      <c r="E2" s="67" t="s">
        <v>84</v>
      </c>
      <c r="F2" s="67" t="s">
        <v>85</v>
      </c>
      <c r="G2" s="67" t="s">
        <v>86</v>
      </c>
      <c r="H2" s="67" t="s">
        <v>87</v>
      </c>
      <c r="I2" s="68" t="s">
        <v>75</v>
      </c>
      <c r="U2" s="69" t="s">
        <v>65</v>
      </c>
      <c r="V2" s="70" t="s">
        <v>1</v>
      </c>
      <c r="W2" s="73" t="s">
        <v>66</v>
      </c>
      <c r="X2" s="73" t="s">
        <v>74</v>
      </c>
      <c r="Y2" s="74" t="s">
        <v>27</v>
      </c>
      <c r="Z2" s="74" t="s">
        <v>25</v>
      </c>
      <c r="AA2" s="74" t="s">
        <v>26</v>
      </c>
      <c r="AB2" s="70" t="s">
        <v>29</v>
      </c>
      <c r="AC2" s="75" t="s">
        <v>55</v>
      </c>
      <c r="AD2" s="66" t="s">
        <v>64</v>
      </c>
      <c r="AE2" s="75" t="s">
        <v>54</v>
      </c>
      <c r="AF2" s="75" t="s">
        <v>53</v>
      </c>
      <c r="AG2" s="75" t="s">
        <v>52</v>
      </c>
      <c r="AH2" s="75" t="s">
        <v>69</v>
      </c>
      <c r="AI2" s="75" t="s">
        <v>72</v>
      </c>
      <c r="AJ2" s="75" t="s">
        <v>73</v>
      </c>
    </row>
    <row r="3" spans="2:36" s="44" customFormat="1" ht="30" customHeight="1" x14ac:dyDescent="0.25">
      <c r="C3" s="53">
        <v>1</v>
      </c>
      <c r="D3" s="52" t="s">
        <v>9</v>
      </c>
      <c r="E3" s="52">
        <v>21</v>
      </c>
      <c r="F3" s="52">
        <v>23</v>
      </c>
      <c r="G3" s="52">
        <v>22</v>
      </c>
      <c r="H3" s="52">
        <v>27</v>
      </c>
      <c r="I3" s="61">
        <f>+SUM(E3:H3)</f>
        <v>93</v>
      </c>
      <c r="U3" s="53">
        <v>1</v>
      </c>
      <c r="V3" s="52" t="s">
        <v>9</v>
      </c>
      <c r="W3" s="54">
        <v>492</v>
      </c>
      <c r="X3" s="55">
        <f>SUM(Y3:AJ3)</f>
        <v>1013</v>
      </c>
      <c r="Y3" s="52">
        <v>41</v>
      </c>
      <c r="Z3" s="52">
        <v>58</v>
      </c>
      <c r="AA3" s="52">
        <v>91</v>
      </c>
      <c r="AB3" s="52">
        <f>93+12</f>
        <v>105</v>
      </c>
      <c r="AC3" s="52">
        <v>79</v>
      </c>
      <c r="AD3" s="52">
        <v>71</v>
      </c>
      <c r="AE3" s="52">
        <v>68</v>
      </c>
      <c r="AF3" s="52">
        <v>108</v>
      </c>
      <c r="AG3" s="52">
        <v>123</v>
      </c>
      <c r="AH3" s="52">
        <v>135</v>
      </c>
      <c r="AI3" s="52">
        <v>88</v>
      </c>
      <c r="AJ3" s="52">
        <v>46</v>
      </c>
    </row>
    <row r="4" spans="2:36" s="44" customFormat="1" ht="30" customHeight="1" x14ac:dyDescent="0.25">
      <c r="C4" s="53">
        <v>2</v>
      </c>
      <c r="D4" s="52" t="s">
        <v>5</v>
      </c>
      <c r="E4" s="52"/>
      <c r="F4" s="52"/>
      <c r="G4" s="52"/>
      <c r="H4" s="52"/>
      <c r="I4" s="61">
        <f t="shared" ref="I4:I5" si="0">+SUM(E4:H4)</f>
        <v>0</v>
      </c>
      <c r="U4" s="53">
        <v>2</v>
      </c>
      <c r="V4" s="52" t="s">
        <v>5</v>
      </c>
      <c r="W4" s="54">
        <v>0</v>
      </c>
      <c r="X4" s="55">
        <f>SUM(Y4:AJ4)</f>
        <v>0</v>
      </c>
      <c r="Y4" s="52">
        <v>0</v>
      </c>
      <c r="Z4" s="52">
        <v>0</v>
      </c>
      <c r="AA4" s="52">
        <v>0</v>
      </c>
      <c r="AB4" s="52">
        <v>0</v>
      </c>
      <c r="AC4" s="52">
        <v>0</v>
      </c>
      <c r="AD4" s="52">
        <v>0</v>
      </c>
      <c r="AE4" s="52">
        <v>0</v>
      </c>
      <c r="AF4" s="52">
        <v>0</v>
      </c>
      <c r="AG4" s="52">
        <f>H4+G4+F4+E4</f>
        <v>0</v>
      </c>
      <c r="AH4" s="52">
        <v>0</v>
      </c>
      <c r="AI4" s="52">
        <v>0</v>
      </c>
      <c r="AJ4" s="52">
        <v>0</v>
      </c>
    </row>
    <row r="5" spans="2:36" s="44" customFormat="1" ht="30" customHeight="1" x14ac:dyDescent="0.25">
      <c r="C5" s="71" t="s">
        <v>17</v>
      </c>
      <c r="D5" s="72"/>
      <c r="E5" s="56">
        <f>+E3+E4</f>
        <v>21</v>
      </c>
      <c r="F5" s="56">
        <f>+F3+F4</f>
        <v>23</v>
      </c>
      <c r="G5" s="56">
        <f>+G3+G4</f>
        <v>22</v>
      </c>
      <c r="H5" s="56">
        <f>+H3+H4</f>
        <v>27</v>
      </c>
      <c r="I5" s="61">
        <f t="shared" si="0"/>
        <v>93</v>
      </c>
      <c r="U5" s="106" t="s">
        <v>17</v>
      </c>
      <c r="V5" s="107"/>
      <c r="W5" s="56">
        <v>492</v>
      </c>
      <c r="X5" s="57">
        <f>SUM(Y5:AJ5)</f>
        <v>1013</v>
      </c>
      <c r="Y5" s="56">
        <f t="shared" ref="Y5:AH5" si="1">+Y3+Y4</f>
        <v>41</v>
      </c>
      <c r="Z5" s="56">
        <f t="shared" si="1"/>
        <v>58</v>
      </c>
      <c r="AA5" s="56">
        <f t="shared" si="1"/>
        <v>91</v>
      </c>
      <c r="AB5" s="56">
        <f t="shared" si="1"/>
        <v>105</v>
      </c>
      <c r="AC5" s="56">
        <f t="shared" si="1"/>
        <v>79</v>
      </c>
      <c r="AD5" s="56">
        <f t="shared" si="1"/>
        <v>71</v>
      </c>
      <c r="AE5" s="56">
        <f t="shared" si="1"/>
        <v>68</v>
      </c>
      <c r="AF5" s="56">
        <f t="shared" si="1"/>
        <v>108</v>
      </c>
      <c r="AG5" s="56">
        <f t="shared" si="1"/>
        <v>123</v>
      </c>
      <c r="AH5" s="56">
        <f t="shared" si="1"/>
        <v>135</v>
      </c>
      <c r="AI5" s="56">
        <f>+AI3+AI4</f>
        <v>88</v>
      </c>
      <c r="AJ5" s="56">
        <f>AJ3+AJ4</f>
        <v>46</v>
      </c>
    </row>
    <row r="6" spans="2:36" s="44" customFormat="1" ht="30" customHeight="1" x14ac:dyDescent="0.25"/>
    <row r="7" spans="2:36" ht="55.5" customHeight="1" x14ac:dyDescent="0.2"/>
    <row r="8" spans="2:36" s="44" customFormat="1" ht="30" customHeight="1" x14ac:dyDescent="0.2">
      <c r="B8" s="65" t="s">
        <v>65</v>
      </c>
      <c r="C8" s="66" t="s">
        <v>0</v>
      </c>
      <c r="D8" s="66" t="s">
        <v>2</v>
      </c>
      <c r="E8" s="67" t="str">
        <f>E2</f>
        <v>Week47
(W3_11)</v>
      </c>
      <c r="F8" s="67" t="str">
        <f>F2</f>
        <v>Week48
(W4_11)</v>
      </c>
      <c r="G8" s="67" t="str">
        <f>G2</f>
        <v>Week49
(W1_12)</v>
      </c>
      <c r="H8" s="67" t="str">
        <f>H2</f>
        <v>Week50
(W2_12)</v>
      </c>
      <c r="I8" s="68" t="s">
        <v>75</v>
      </c>
      <c r="J8" s="48" t="s">
        <v>67</v>
      </c>
      <c r="M8" s="41" t="s">
        <v>2</v>
      </c>
      <c r="N8" s="43" t="str">
        <f>+E8</f>
        <v>Week47
(W3_11)</v>
      </c>
      <c r="O8" s="43" t="str">
        <f>+F8</f>
        <v>Week48
(W4_11)</v>
      </c>
      <c r="P8" s="43" t="str">
        <f>+G8</f>
        <v>Week49
(W1_12)</v>
      </c>
      <c r="Q8" s="43" t="str">
        <f>+H8</f>
        <v>Week50
(W2_12)</v>
      </c>
      <c r="AH8" s="44">
        <v>21</v>
      </c>
      <c r="AI8" s="44">
        <v>19</v>
      </c>
    </row>
    <row r="9" spans="2:36" s="44" customFormat="1" ht="30" customHeight="1" x14ac:dyDescent="0.25">
      <c r="B9" s="58">
        <v>1</v>
      </c>
      <c r="C9" s="52" t="s">
        <v>8</v>
      </c>
      <c r="D9" s="52" t="s">
        <v>7</v>
      </c>
      <c r="E9" s="59"/>
      <c r="F9" s="59"/>
      <c r="G9" s="59"/>
      <c r="H9" s="59"/>
      <c r="I9" s="61">
        <f>SUM(E9:H9)</f>
        <v>0</v>
      </c>
      <c r="M9" s="51" t="s">
        <v>7</v>
      </c>
      <c r="N9" s="52">
        <f>E3</f>
        <v>21</v>
      </c>
      <c r="O9" s="52">
        <f>F3</f>
        <v>23</v>
      </c>
      <c r="P9" s="52">
        <f>G3</f>
        <v>22</v>
      </c>
      <c r="Q9" s="52">
        <f>H3</f>
        <v>27</v>
      </c>
      <c r="AH9" s="44">
        <v>20</v>
      </c>
      <c r="AI9" s="44">
        <v>27</v>
      </c>
    </row>
    <row r="10" spans="2:36" s="44" customFormat="1" ht="30" customHeight="1" x14ac:dyDescent="0.25">
      <c r="B10" s="58">
        <v>2</v>
      </c>
      <c r="C10" s="52" t="s">
        <v>8</v>
      </c>
      <c r="D10" s="52" t="s">
        <v>6</v>
      </c>
      <c r="E10" s="59"/>
      <c r="F10" s="59"/>
      <c r="G10" s="59"/>
      <c r="H10" s="59"/>
      <c r="I10" s="61">
        <f t="shared" ref="I10:I18" si="2">SUM(E10:H10)</f>
        <v>0</v>
      </c>
      <c r="M10" s="51" t="s">
        <v>6</v>
      </c>
      <c r="N10" s="52">
        <f>SUMIF($D$9:$D$18,$D10,E9:E18)</f>
        <v>0</v>
      </c>
      <c r="O10" s="52">
        <f>SUMIF($D$9:$D$18,$D10,F9:F18)</f>
        <v>0</v>
      </c>
      <c r="P10" s="52">
        <f>SUMIF($D$9:$D$18,$D10,G9:G18)</f>
        <v>0</v>
      </c>
      <c r="Q10" s="52">
        <f>SUMIF($D$9:$D$18,$D10,H9:H18)</f>
        <v>0</v>
      </c>
      <c r="AH10" s="44">
        <v>21</v>
      </c>
    </row>
    <row r="11" spans="2:36" s="44" customFormat="1" ht="30" customHeight="1" x14ac:dyDescent="0.25">
      <c r="B11" s="58">
        <v>3</v>
      </c>
      <c r="C11" s="52" t="s">
        <v>14</v>
      </c>
      <c r="D11" s="52" t="s">
        <v>7</v>
      </c>
      <c r="E11" s="59"/>
      <c r="F11" s="59"/>
      <c r="G11" s="59"/>
      <c r="H11" s="59"/>
      <c r="I11" s="61">
        <f t="shared" si="2"/>
        <v>0</v>
      </c>
      <c r="AH11" s="44">
        <v>23</v>
      </c>
    </row>
    <row r="12" spans="2:36" s="44" customFormat="1" ht="30" customHeight="1" x14ac:dyDescent="0.25">
      <c r="B12" s="58">
        <v>4</v>
      </c>
      <c r="C12" s="52" t="s">
        <v>11</v>
      </c>
      <c r="D12" s="52" t="s">
        <v>7</v>
      </c>
      <c r="E12" s="52">
        <f>E3</f>
        <v>21</v>
      </c>
      <c r="F12" s="52">
        <f>F3</f>
        <v>23</v>
      </c>
      <c r="G12" s="52">
        <f>G3</f>
        <v>22</v>
      </c>
      <c r="H12" s="52">
        <f>H3</f>
        <v>27</v>
      </c>
      <c r="I12" s="61">
        <f>SUM(E12:H12)</f>
        <v>93</v>
      </c>
      <c r="AH12" s="44">
        <v>3</v>
      </c>
    </row>
    <row r="13" spans="2:36" s="44" customFormat="1" ht="30" customHeight="1" x14ac:dyDescent="0.25">
      <c r="B13" s="58">
        <v>5</v>
      </c>
      <c r="C13" s="52" t="s">
        <v>11</v>
      </c>
      <c r="D13" s="52" t="s">
        <v>6</v>
      </c>
      <c r="E13" s="59"/>
      <c r="F13" s="59"/>
      <c r="G13" s="59"/>
      <c r="H13" s="59"/>
      <c r="I13" s="61">
        <f t="shared" si="2"/>
        <v>0</v>
      </c>
    </row>
    <row r="14" spans="2:36" s="44" customFormat="1" ht="30" customHeight="1" x14ac:dyDescent="0.25">
      <c r="B14" s="58">
        <v>6</v>
      </c>
      <c r="C14" s="52" t="s">
        <v>10</v>
      </c>
      <c r="D14" s="52" t="s">
        <v>7</v>
      </c>
      <c r="E14" s="59"/>
      <c r="F14" s="59"/>
      <c r="G14" s="59"/>
      <c r="H14" s="59"/>
      <c r="I14" s="61">
        <f t="shared" si="2"/>
        <v>0</v>
      </c>
      <c r="K14" s="45"/>
      <c r="L14" s="45"/>
    </row>
    <row r="15" spans="2:36" s="44" customFormat="1" ht="30" customHeight="1" x14ac:dyDescent="0.25">
      <c r="B15" s="58">
        <v>7</v>
      </c>
      <c r="C15" s="52" t="s">
        <v>70</v>
      </c>
      <c r="D15" s="52" t="s">
        <v>7</v>
      </c>
      <c r="E15" s="59"/>
      <c r="F15" s="59"/>
      <c r="G15" s="59"/>
      <c r="H15" s="59"/>
      <c r="I15" s="61">
        <f t="shared" si="2"/>
        <v>0</v>
      </c>
      <c r="K15" s="45"/>
      <c r="L15" s="45"/>
    </row>
    <row r="16" spans="2:36" s="44" customFormat="1" ht="30" customHeight="1" x14ac:dyDescent="0.25">
      <c r="B16" s="58">
        <v>8</v>
      </c>
      <c r="C16" s="52" t="s">
        <v>71</v>
      </c>
      <c r="D16" s="52" t="s">
        <v>6</v>
      </c>
      <c r="E16" s="59"/>
      <c r="F16" s="59"/>
      <c r="G16" s="59"/>
      <c r="H16" s="59"/>
      <c r="I16" s="61">
        <f t="shared" si="2"/>
        <v>0</v>
      </c>
      <c r="K16" s="45"/>
      <c r="L16" s="45"/>
    </row>
    <row r="17" spans="2:21" s="44" customFormat="1" ht="30" customHeight="1" x14ac:dyDescent="0.25">
      <c r="B17" s="58">
        <v>9</v>
      </c>
      <c r="C17" s="60" t="s">
        <v>76</v>
      </c>
      <c r="D17" s="52" t="s">
        <v>7</v>
      </c>
      <c r="E17" s="59"/>
      <c r="F17" s="59"/>
      <c r="G17" s="59"/>
      <c r="H17" s="59"/>
      <c r="I17" s="61">
        <f t="shared" si="2"/>
        <v>0</v>
      </c>
      <c r="K17" s="45"/>
      <c r="L17" s="45"/>
    </row>
    <row r="18" spans="2:21" s="44" customFormat="1" ht="30" customHeight="1" x14ac:dyDescent="0.25">
      <c r="B18" s="58">
        <v>10</v>
      </c>
      <c r="C18" s="60" t="s">
        <v>77</v>
      </c>
      <c r="D18" s="52" t="s">
        <v>6</v>
      </c>
      <c r="E18" s="59"/>
      <c r="F18" s="59"/>
      <c r="G18" s="59"/>
      <c r="H18" s="59"/>
      <c r="I18" s="61">
        <f t="shared" si="2"/>
        <v>0</v>
      </c>
      <c r="K18" s="45"/>
      <c r="L18" s="45"/>
    </row>
    <row r="19" spans="2:21" ht="30" customHeight="1" x14ac:dyDescent="0.2">
      <c r="B19" s="62" t="s">
        <v>17</v>
      </c>
      <c r="C19" s="63"/>
      <c r="D19" s="64"/>
      <c r="E19" s="61">
        <f>+SUM(E9:E18)</f>
        <v>21</v>
      </c>
      <c r="F19" s="61">
        <f t="shared" ref="F19:G19" si="3">+SUM(F9:F18)</f>
        <v>23</v>
      </c>
      <c r="G19" s="61">
        <f t="shared" si="3"/>
        <v>22</v>
      </c>
      <c r="H19" s="61">
        <f>+SUM(H9:H18)</f>
        <v>27</v>
      </c>
      <c r="I19" s="61">
        <f>+SUM(I9:I18)</f>
        <v>93</v>
      </c>
      <c r="K19" s="45"/>
      <c r="L19" s="45"/>
      <c r="M19" s="46"/>
    </row>
    <row r="21" spans="2:21" s="44" customFormat="1" ht="30" customHeight="1" x14ac:dyDescent="0.25">
      <c r="B21" s="65" t="s">
        <v>65</v>
      </c>
      <c r="C21" s="66" t="s">
        <v>0</v>
      </c>
      <c r="D21" s="66" t="s">
        <v>2</v>
      </c>
      <c r="E21" s="73" t="s">
        <v>66</v>
      </c>
      <c r="F21" s="73" t="s">
        <v>74</v>
      </c>
      <c r="G21" s="70" t="s">
        <v>27</v>
      </c>
      <c r="H21" s="74" t="s">
        <v>25</v>
      </c>
      <c r="I21" s="74" t="s">
        <v>26</v>
      </c>
      <c r="J21" s="70" t="s">
        <v>29</v>
      </c>
      <c r="K21" s="75" t="s">
        <v>55</v>
      </c>
      <c r="L21" s="70" t="s">
        <v>64</v>
      </c>
      <c r="M21" s="75" t="s">
        <v>54</v>
      </c>
      <c r="N21" s="75" t="s">
        <v>53</v>
      </c>
      <c r="O21" s="75" t="s">
        <v>52</v>
      </c>
      <c r="P21" s="75" t="s">
        <v>69</v>
      </c>
      <c r="Q21" s="75" t="s">
        <v>72</v>
      </c>
      <c r="R21" s="75" t="s">
        <v>73</v>
      </c>
    </row>
    <row r="22" spans="2:21" s="44" customFormat="1" ht="30" customHeight="1" x14ac:dyDescent="0.25">
      <c r="B22" s="58">
        <v>1</v>
      </c>
      <c r="C22" s="52" t="s">
        <v>8</v>
      </c>
      <c r="D22" s="52" t="s">
        <v>82</v>
      </c>
      <c r="E22" s="54">
        <v>109</v>
      </c>
      <c r="F22" s="55">
        <f t="shared" ref="F22:F32" si="4">SUM(G22:R22)</f>
        <v>0</v>
      </c>
      <c r="G22" s="59">
        <f t="shared" ref="G22:G31" si="5">I9</f>
        <v>0</v>
      </c>
      <c r="H22" s="59">
        <v>0</v>
      </c>
      <c r="I22" s="59">
        <v>0</v>
      </c>
      <c r="J22" s="59">
        <v>0</v>
      </c>
      <c r="K22" s="59">
        <v>0</v>
      </c>
      <c r="L22" s="59">
        <v>0</v>
      </c>
      <c r="M22" s="59">
        <v>0</v>
      </c>
      <c r="N22" s="59">
        <v>0</v>
      </c>
      <c r="O22" s="59">
        <v>0</v>
      </c>
      <c r="P22" s="59">
        <v>0</v>
      </c>
      <c r="Q22" s="59">
        <v>0</v>
      </c>
      <c r="R22" s="59">
        <v>0</v>
      </c>
    </row>
    <row r="23" spans="2:21" s="44" customFormat="1" ht="30" customHeight="1" x14ac:dyDescent="0.25">
      <c r="B23" s="58">
        <v>2</v>
      </c>
      <c r="C23" s="52" t="s">
        <v>8</v>
      </c>
      <c r="D23" s="52" t="s">
        <v>6</v>
      </c>
      <c r="E23" s="54">
        <v>4</v>
      </c>
      <c r="F23" s="55">
        <f t="shared" si="4"/>
        <v>0</v>
      </c>
      <c r="G23" s="59">
        <f t="shared" si="5"/>
        <v>0</v>
      </c>
      <c r="H23" s="59">
        <v>0</v>
      </c>
      <c r="I23" s="59">
        <v>0</v>
      </c>
      <c r="J23" s="59">
        <v>0</v>
      </c>
      <c r="K23" s="59">
        <v>0</v>
      </c>
      <c r="L23" s="59">
        <v>0</v>
      </c>
      <c r="M23" s="59">
        <v>0</v>
      </c>
      <c r="N23" s="59">
        <v>0</v>
      </c>
      <c r="O23" s="59">
        <v>0</v>
      </c>
      <c r="P23" s="59">
        <v>0</v>
      </c>
      <c r="Q23" s="59">
        <v>0</v>
      </c>
      <c r="R23" s="59">
        <v>0</v>
      </c>
    </row>
    <row r="24" spans="2:21" s="44" customFormat="1" ht="30" customHeight="1" x14ac:dyDescent="0.25">
      <c r="B24" s="58">
        <v>3</v>
      </c>
      <c r="C24" s="52" t="s">
        <v>14</v>
      </c>
      <c r="D24" s="52" t="s">
        <v>82</v>
      </c>
      <c r="E24" s="54">
        <v>17</v>
      </c>
      <c r="F24" s="55">
        <f t="shared" si="4"/>
        <v>0</v>
      </c>
      <c r="G24" s="59">
        <f t="shared" si="5"/>
        <v>0</v>
      </c>
      <c r="H24" s="59">
        <v>0</v>
      </c>
      <c r="I24" s="59">
        <v>0</v>
      </c>
      <c r="J24" s="59">
        <v>0</v>
      </c>
      <c r="K24" s="59">
        <v>0</v>
      </c>
      <c r="L24" s="59">
        <v>0</v>
      </c>
      <c r="M24" s="59">
        <v>0</v>
      </c>
      <c r="N24" s="59">
        <v>0</v>
      </c>
      <c r="O24" s="59">
        <v>0</v>
      </c>
      <c r="P24" s="59">
        <v>0</v>
      </c>
      <c r="Q24" s="59">
        <v>0</v>
      </c>
      <c r="R24" s="59">
        <v>0</v>
      </c>
    </row>
    <row r="25" spans="2:21" s="44" customFormat="1" ht="30" customHeight="1" x14ac:dyDescent="0.25">
      <c r="B25" s="58">
        <v>4</v>
      </c>
      <c r="C25" s="52" t="s">
        <v>11</v>
      </c>
      <c r="D25" s="52" t="s">
        <v>82</v>
      </c>
      <c r="E25" s="54">
        <v>350</v>
      </c>
      <c r="F25" s="55">
        <f t="shared" si="4"/>
        <v>1013</v>
      </c>
      <c r="G25" s="59">
        <v>41</v>
      </c>
      <c r="H25" s="59">
        <v>58</v>
      </c>
      <c r="I25" s="59">
        <v>91</v>
      </c>
      <c r="J25" s="59">
        <v>105</v>
      </c>
      <c r="K25" s="59">
        <f>AC3</f>
        <v>79</v>
      </c>
      <c r="L25" s="59">
        <f>AD3</f>
        <v>71</v>
      </c>
      <c r="M25" s="59">
        <f>AE3</f>
        <v>68</v>
      </c>
      <c r="N25" s="59">
        <f>AF5</f>
        <v>108</v>
      </c>
      <c r="O25" s="59">
        <f>AG5</f>
        <v>123</v>
      </c>
      <c r="P25" s="59">
        <f>AH5</f>
        <v>135</v>
      </c>
      <c r="Q25" s="59">
        <f>AI5</f>
        <v>88</v>
      </c>
      <c r="R25" s="59">
        <f>AJ5</f>
        <v>46</v>
      </c>
    </row>
    <row r="26" spans="2:21" s="44" customFormat="1" ht="30" customHeight="1" x14ac:dyDescent="0.25">
      <c r="B26" s="58">
        <v>5</v>
      </c>
      <c r="C26" s="52" t="s">
        <v>11</v>
      </c>
      <c r="D26" s="52" t="s">
        <v>6</v>
      </c>
      <c r="E26" s="54">
        <v>4</v>
      </c>
      <c r="F26" s="55">
        <f t="shared" si="4"/>
        <v>0</v>
      </c>
      <c r="G26" s="59">
        <f t="shared" si="5"/>
        <v>0</v>
      </c>
      <c r="H26" s="59">
        <v>0</v>
      </c>
      <c r="I26" s="59">
        <v>0</v>
      </c>
      <c r="J26" s="59">
        <v>0</v>
      </c>
      <c r="K26" s="59">
        <v>0</v>
      </c>
      <c r="L26" s="59">
        <v>0</v>
      </c>
      <c r="M26" s="59">
        <v>0</v>
      </c>
      <c r="N26" s="59">
        <v>0</v>
      </c>
      <c r="O26" s="59">
        <v>0</v>
      </c>
      <c r="P26" s="59">
        <v>0</v>
      </c>
      <c r="Q26" s="59">
        <v>0</v>
      </c>
      <c r="R26" s="59">
        <v>0</v>
      </c>
    </row>
    <row r="27" spans="2:21" s="44" customFormat="1" ht="30" customHeight="1" x14ac:dyDescent="0.25">
      <c r="B27" s="58">
        <v>6</v>
      </c>
      <c r="C27" s="52" t="s">
        <v>10</v>
      </c>
      <c r="D27" s="52" t="s">
        <v>82</v>
      </c>
      <c r="E27" s="54">
        <v>4</v>
      </c>
      <c r="F27" s="55">
        <f t="shared" si="4"/>
        <v>0</v>
      </c>
      <c r="G27" s="59">
        <f t="shared" si="5"/>
        <v>0</v>
      </c>
      <c r="H27" s="59">
        <v>0</v>
      </c>
      <c r="I27" s="59">
        <v>0</v>
      </c>
      <c r="J27" s="59">
        <v>0</v>
      </c>
      <c r="K27" s="59">
        <v>0</v>
      </c>
      <c r="L27" s="59">
        <v>0</v>
      </c>
      <c r="M27" s="59">
        <v>0</v>
      </c>
      <c r="N27" s="59">
        <v>0</v>
      </c>
      <c r="O27" s="59">
        <v>0</v>
      </c>
      <c r="P27" s="59">
        <v>0</v>
      </c>
      <c r="Q27" s="59">
        <v>0</v>
      </c>
      <c r="R27" s="59">
        <v>0</v>
      </c>
      <c r="T27" s="45"/>
    </row>
    <row r="28" spans="2:21" s="44" customFormat="1" ht="30" customHeight="1" x14ac:dyDescent="0.25">
      <c r="B28" s="58">
        <v>7</v>
      </c>
      <c r="C28" s="52" t="s">
        <v>70</v>
      </c>
      <c r="D28" s="52" t="s">
        <v>82</v>
      </c>
      <c r="E28" s="54">
        <v>1</v>
      </c>
      <c r="F28" s="55">
        <f t="shared" si="4"/>
        <v>0</v>
      </c>
      <c r="G28" s="59">
        <f t="shared" si="5"/>
        <v>0</v>
      </c>
      <c r="H28" s="59">
        <v>0</v>
      </c>
      <c r="I28" s="59">
        <v>0</v>
      </c>
      <c r="J28" s="59">
        <v>0</v>
      </c>
      <c r="K28" s="59">
        <v>0</v>
      </c>
      <c r="L28" s="59">
        <v>0</v>
      </c>
      <c r="M28" s="59">
        <v>0</v>
      </c>
      <c r="N28" s="59">
        <v>0</v>
      </c>
      <c r="O28" s="59">
        <v>0</v>
      </c>
      <c r="P28" s="59">
        <v>0</v>
      </c>
      <c r="Q28" s="59">
        <v>0</v>
      </c>
      <c r="R28" s="59">
        <v>0</v>
      </c>
      <c r="T28" s="45"/>
    </row>
    <row r="29" spans="2:21" s="44" customFormat="1" ht="30" customHeight="1" x14ac:dyDescent="0.25">
      <c r="B29" s="58">
        <v>8</v>
      </c>
      <c r="C29" s="52" t="s">
        <v>71</v>
      </c>
      <c r="D29" s="52" t="s">
        <v>6</v>
      </c>
      <c r="E29" s="54">
        <v>1</v>
      </c>
      <c r="F29" s="55">
        <f t="shared" si="4"/>
        <v>0</v>
      </c>
      <c r="G29" s="59">
        <f t="shared" si="5"/>
        <v>0</v>
      </c>
      <c r="H29" s="59">
        <v>0</v>
      </c>
      <c r="I29" s="59">
        <v>0</v>
      </c>
      <c r="J29" s="59">
        <v>0</v>
      </c>
      <c r="K29" s="59">
        <v>0</v>
      </c>
      <c r="L29" s="59">
        <v>0</v>
      </c>
      <c r="M29" s="59">
        <v>0</v>
      </c>
      <c r="N29" s="59">
        <v>0</v>
      </c>
      <c r="O29" s="59">
        <v>0</v>
      </c>
      <c r="P29" s="59">
        <v>0</v>
      </c>
      <c r="Q29" s="59">
        <v>0</v>
      </c>
      <c r="R29" s="59">
        <v>0</v>
      </c>
      <c r="T29" s="45"/>
    </row>
    <row r="30" spans="2:21" s="44" customFormat="1" ht="30" customHeight="1" x14ac:dyDescent="0.25">
      <c r="B30" s="58">
        <v>9</v>
      </c>
      <c r="C30" s="60" t="s">
        <v>77</v>
      </c>
      <c r="D30" s="52" t="s">
        <v>6</v>
      </c>
      <c r="E30" s="54">
        <v>1</v>
      </c>
      <c r="F30" s="55">
        <f t="shared" si="4"/>
        <v>0</v>
      </c>
      <c r="G30" s="59">
        <f t="shared" si="5"/>
        <v>0</v>
      </c>
      <c r="H30" s="59">
        <v>0</v>
      </c>
      <c r="I30" s="59">
        <v>0</v>
      </c>
      <c r="J30" s="59">
        <v>0</v>
      </c>
      <c r="K30" s="59">
        <v>0</v>
      </c>
      <c r="L30" s="59">
        <v>0</v>
      </c>
      <c r="M30" s="59">
        <v>0</v>
      </c>
      <c r="N30" s="59">
        <v>0</v>
      </c>
      <c r="O30" s="59">
        <v>0</v>
      </c>
      <c r="P30" s="59">
        <v>0</v>
      </c>
      <c r="Q30" s="59">
        <v>0</v>
      </c>
      <c r="R30" s="59">
        <v>0</v>
      </c>
      <c r="T30" s="45"/>
    </row>
    <row r="31" spans="2:21" s="44" customFormat="1" ht="30" customHeight="1" x14ac:dyDescent="0.25">
      <c r="B31" s="58">
        <v>10</v>
      </c>
      <c r="C31" s="60" t="s">
        <v>76</v>
      </c>
      <c r="D31" s="52" t="s">
        <v>82</v>
      </c>
      <c r="E31" s="54">
        <v>1</v>
      </c>
      <c r="F31" s="55">
        <f t="shared" si="4"/>
        <v>0</v>
      </c>
      <c r="G31" s="59">
        <f t="shared" si="5"/>
        <v>0</v>
      </c>
      <c r="H31" s="59">
        <v>0</v>
      </c>
      <c r="I31" s="59">
        <v>0</v>
      </c>
      <c r="J31" s="59">
        <v>0</v>
      </c>
      <c r="K31" s="59">
        <v>0</v>
      </c>
      <c r="L31" s="59">
        <v>0</v>
      </c>
      <c r="M31" s="59">
        <v>0</v>
      </c>
      <c r="N31" s="59">
        <v>0</v>
      </c>
      <c r="O31" s="59">
        <v>0</v>
      </c>
      <c r="P31" s="59">
        <v>0</v>
      </c>
      <c r="Q31" s="59">
        <v>0</v>
      </c>
      <c r="R31" s="59">
        <v>0</v>
      </c>
      <c r="T31" s="45"/>
    </row>
    <row r="32" spans="2:21" ht="30" customHeight="1" x14ac:dyDescent="0.2">
      <c r="B32" s="103" t="s">
        <v>17</v>
      </c>
      <c r="C32" s="104"/>
      <c r="D32" s="105"/>
      <c r="E32" s="57">
        <v>492</v>
      </c>
      <c r="F32" s="57">
        <f t="shared" si="4"/>
        <v>1013</v>
      </c>
      <c r="G32" s="61">
        <f t="shared" ref="G32:L32" si="6">+SUM(G22:G31)</f>
        <v>41</v>
      </c>
      <c r="H32" s="61">
        <f t="shared" si="6"/>
        <v>58</v>
      </c>
      <c r="I32" s="61">
        <f t="shared" si="6"/>
        <v>91</v>
      </c>
      <c r="J32" s="61">
        <f t="shared" si="6"/>
        <v>105</v>
      </c>
      <c r="K32" s="61">
        <f t="shared" si="6"/>
        <v>79</v>
      </c>
      <c r="L32" s="61">
        <f t="shared" si="6"/>
        <v>71</v>
      </c>
      <c r="M32" s="61">
        <f t="shared" ref="M32:O32" si="7">+SUM(M22:M31)</f>
        <v>68</v>
      </c>
      <c r="N32" s="61">
        <f t="shared" si="7"/>
        <v>108</v>
      </c>
      <c r="O32" s="61">
        <f t="shared" si="7"/>
        <v>123</v>
      </c>
      <c r="P32" s="61">
        <f>+SUM(P22:P31)</f>
        <v>135</v>
      </c>
      <c r="Q32" s="61">
        <f t="shared" ref="Q32" si="8">+SUM(Q22:Q31)</f>
        <v>88</v>
      </c>
      <c r="R32" s="61">
        <f>+SUM(R22:R31)</f>
        <v>46</v>
      </c>
      <c r="T32" s="45"/>
      <c r="U32" s="46"/>
    </row>
    <row r="33" spans="7:7" ht="30" customHeight="1" x14ac:dyDescent="0.2">
      <c r="G33" s="47"/>
    </row>
  </sheetData>
  <mergeCells count="2">
    <mergeCell ref="B32:D32"/>
    <mergeCell ref="U5:V5"/>
  </mergeCells>
  <phoneticPr fontId="19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N22"/>
  <sheetViews>
    <sheetView topLeftCell="A19" zoomScale="89" zoomScaleNormal="89" workbookViewId="0">
      <selection activeCell="H56" sqref="H56"/>
    </sheetView>
  </sheetViews>
  <sheetFormatPr defaultRowHeight="15" x14ac:dyDescent="0.25"/>
  <cols>
    <col min="1" max="3" width="21.5703125" customWidth="1"/>
    <col min="4" max="9" width="19.42578125" customWidth="1"/>
  </cols>
  <sheetData>
    <row r="2" spans="1:14" ht="20.25" x14ac:dyDescent="0.3">
      <c r="A2" s="35" t="s">
        <v>28</v>
      </c>
      <c r="B2" s="35"/>
    </row>
    <row r="4" spans="1:14" ht="29.25" customHeight="1" x14ac:dyDescent="0.25">
      <c r="A4" s="110" t="s">
        <v>83</v>
      </c>
      <c r="B4" s="111"/>
      <c r="C4" s="111"/>
      <c r="D4" s="111"/>
      <c r="E4" s="111"/>
      <c r="F4" s="111"/>
      <c r="G4" s="111"/>
      <c r="H4" s="111"/>
      <c r="I4" s="111"/>
    </row>
    <row r="5" spans="1:14" ht="39" customHeight="1" x14ac:dyDescent="0.25">
      <c r="A5" s="76" t="s">
        <v>12</v>
      </c>
      <c r="B5" s="77" t="s">
        <v>66</v>
      </c>
      <c r="C5" s="77" t="s">
        <v>74</v>
      </c>
      <c r="D5" s="76" t="s">
        <v>61</v>
      </c>
      <c r="E5" s="78" t="s">
        <v>60</v>
      </c>
      <c r="F5" s="78" t="s">
        <v>59</v>
      </c>
      <c r="G5" s="78" t="s">
        <v>58</v>
      </c>
      <c r="H5" s="76" t="s">
        <v>57</v>
      </c>
      <c r="I5" s="76" t="s">
        <v>56</v>
      </c>
    </row>
    <row r="6" spans="1:14" ht="27" customHeight="1" x14ac:dyDescent="0.25">
      <c r="A6" s="79" t="s">
        <v>27</v>
      </c>
      <c r="B6" s="54">
        <v>56</v>
      </c>
      <c r="C6" s="55">
        <f>SUM(D6:H6)</f>
        <v>25</v>
      </c>
      <c r="D6" s="52"/>
      <c r="E6" s="52">
        <v>25</v>
      </c>
      <c r="F6" s="52"/>
      <c r="G6" s="52"/>
      <c r="H6" s="52"/>
      <c r="I6" s="52"/>
    </row>
    <row r="7" spans="1:14" ht="27" customHeight="1" x14ac:dyDescent="0.25">
      <c r="A7" s="79" t="s">
        <v>25</v>
      </c>
      <c r="B7" s="54">
        <v>27</v>
      </c>
      <c r="C7" s="55">
        <f t="shared" ref="C7:C17" si="0">SUM(D7:H7)</f>
        <v>38</v>
      </c>
      <c r="D7" s="52"/>
      <c r="E7" s="52">
        <v>38</v>
      </c>
      <c r="F7" s="52"/>
      <c r="G7" s="52"/>
      <c r="H7" s="52"/>
      <c r="I7" s="52"/>
    </row>
    <row r="8" spans="1:14" ht="27" customHeight="1" x14ac:dyDescent="0.25">
      <c r="A8" s="79" t="s">
        <v>26</v>
      </c>
      <c r="B8" s="54">
        <v>68</v>
      </c>
      <c r="C8" s="55">
        <f t="shared" si="0"/>
        <v>38</v>
      </c>
      <c r="D8" s="52"/>
      <c r="E8" s="52">
        <v>38</v>
      </c>
      <c r="F8" s="52"/>
      <c r="G8" s="52"/>
      <c r="H8" s="52"/>
      <c r="I8" s="52"/>
    </row>
    <row r="9" spans="1:14" ht="27" customHeight="1" x14ac:dyDescent="0.25">
      <c r="A9" s="79" t="s">
        <v>29</v>
      </c>
      <c r="B9" s="54">
        <v>46</v>
      </c>
      <c r="C9" s="55">
        <f t="shared" si="0"/>
        <v>46</v>
      </c>
      <c r="D9" s="52"/>
      <c r="E9" s="52">
        <v>46</v>
      </c>
      <c r="F9" s="52"/>
      <c r="G9" s="52"/>
      <c r="H9" s="52"/>
      <c r="I9" s="52"/>
    </row>
    <row r="10" spans="1:14" ht="27" customHeight="1" x14ac:dyDescent="0.25">
      <c r="A10" s="79" t="s">
        <v>55</v>
      </c>
      <c r="B10" s="54">
        <v>50</v>
      </c>
      <c r="C10" s="55">
        <f t="shared" si="0"/>
        <v>28</v>
      </c>
      <c r="D10" s="52"/>
      <c r="E10" s="52">
        <v>28</v>
      </c>
      <c r="F10" s="52"/>
      <c r="G10" s="52"/>
      <c r="H10" s="52"/>
      <c r="I10" s="52"/>
    </row>
    <row r="11" spans="1:14" ht="27" customHeight="1" x14ac:dyDescent="0.25">
      <c r="A11" s="79" t="s">
        <v>64</v>
      </c>
      <c r="B11" s="54">
        <v>38</v>
      </c>
      <c r="C11" s="55">
        <f t="shared" si="0"/>
        <v>24</v>
      </c>
      <c r="D11" s="52"/>
      <c r="E11" s="52">
        <v>24</v>
      </c>
      <c r="F11" s="52"/>
      <c r="G11" s="52"/>
      <c r="H11" s="52"/>
      <c r="I11" s="52"/>
    </row>
    <row r="12" spans="1:14" ht="27" customHeight="1" x14ac:dyDescent="0.25">
      <c r="A12" s="79" t="s">
        <v>54</v>
      </c>
      <c r="B12" s="54">
        <v>37</v>
      </c>
      <c r="C12" s="55">
        <f t="shared" si="0"/>
        <v>33</v>
      </c>
      <c r="D12" s="52"/>
      <c r="E12" s="52">
        <v>33</v>
      </c>
      <c r="F12" s="52"/>
      <c r="G12" s="52"/>
      <c r="H12" s="52"/>
      <c r="I12" s="52"/>
    </row>
    <row r="13" spans="1:14" ht="27" customHeight="1" x14ac:dyDescent="0.25">
      <c r="A13" s="79" t="s">
        <v>53</v>
      </c>
      <c r="B13" s="54">
        <v>29</v>
      </c>
      <c r="C13" s="55">
        <f t="shared" si="0"/>
        <v>35</v>
      </c>
      <c r="D13" s="52"/>
      <c r="E13" s="52">
        <v>35</v>
      </c>
      <c r="F13" s="52"/>
      <c r="G13" s="52"/>
      <c r="H13" s="52"/>
      <c r="I13" s="52"/>
    </row>
    <row r="14" spans="1:14" ht="27" customHeight="1" x14ac:dyDescent="0.25">
      <c r="A14" s="79" t="s">
        <v>52</v>
      </c>
      <c r="B14" s="54">
        <v>20</v>
      </c>
      <c r="C14" s="55">
        <f t="shared" si="0"/>
        <v>50</v>
      </c>
      <c r="D14" s="52"/>
      <c r="E14" s="52">
        <v>50</v>
      </c>
      <c r="F14" s="52"/>
      <c r="G14" s="52"/>
      <c r="H14" s="52"/>
      <c r="I14" s="52"/>
      <c r="J14" s="108" t="s">
        <v>68</v>
      </c>
      <c r="K14" s="109"/>
      <c r="L14" s="109"/>
      <c r="M14" s="109"/>
      <c r="N14" s="109"/>
    </row>
    <row r="15" spans="1:14" ht="27" customHeight="1" x14ac:dyDescent="0.25">
      <c r="A15" s="79" t="s">
        <v>69</v>
      </c>
      <c r="B15" s="54">
        <v>40</v>
      </c>
      <c r="C15" s="55">
        <f t="shared" si="0"/>
        <v>64</v>
      </c>
      <c r="D15" s="52"/>
      <c r="E15" s="52">
        <v>64</v>
      </c>
      <c r="F15" s="52"/>
      <c r="G15" s="52"/>
      <c r="H15" s="52"/>
      <c r="I15" s="52"/>
      <c r="J15" s="49">
        <v>21</v>
      </c>
      <c r="K15" s="49">
        <v>17</v>
      </c>
      <c r="L15" s="49">
        <v>14</v>
      </c>
      <c r="M15" s="49">
        <v>12</v>
      </c>
      <c r="N15" s="49"/>
    </row>
    <row r="16" spans="1:14" ht="27" customHeight="1" x14ac:dyDescent="0.25">
      <c r="A16" s="79" t="s">
        <v>72</v>
      </c>
      <c r="B16" s="54">
        <v>18</v>
      </c>
      <c r="C16" s="55">
        <f t="shared" si="0"/>
        <v>45</v>
      </c>
      <c r="D16" s="52"/>
      <c r="E16" s="52">
        <v>45</v>
      </c>
      <c r="F16" s="52"/>
      <c r="G16" s="52"/>
      <c r="H16" s="52"/>
      <c r="I16" s="52"/>
      <c r="J16" s="49">
        <v>11</v>
      </c>
      <c r="K16" s="49">
        <v>8</v>
      </c>
      <c r="L16" s="49">
        <v>12</v>
      </c>
      <c r="M16" s="49">
        <v>12</v>
      </c>
      <c r="N16" s="49">
        <v>2</v>
      </c>
    </row>
    <row r="17" spans="1:14" ht="27" customHeight="1" x14ac:dyDescent="0.25">
      <c r="A17" s="79" t="s">
        <v>73</v>
      </c>
      <c r="B17" s="54">
        <v>33</v>
      </c>
      <c r="C17" s="55">
        <f t="shared" si="0"/>
        <v>27</v>
      </c>
      <c r="D17" s="52"/>
      <c r="E17" s="52">
        <v>27</v>
      </c>
      <c r="F17" s="52"/>
      <c r="G17" s="52"/>
      <c r="H17" s="52"/>
      <c r="I17" s="52"/>
      <c r="J17" s="49">
        <v>13</v>
      </c>
      <c r="K17" s="49">
        <v>14</v>
      </c>
      <c r="L17" s="49"/>
      <c r="M17" s="49"/>
      <c r="N17" s="49"/>
    </row>
    <row r="18" spans="1:14" ht="27" customHeight="1" x14ac:dyDescent="0.25">
      <c r="A18" s="57" t="s">
        <v>17</v>
      </c>
      <c r="B18" s="57">
        <v>462</v>
      </c>
      <c r="C18" s="57">
        <f>SUM(C6:C17)</f>
        <v>453</v>
      </c>
      <c r="D18" s="57">
        <f>SUM(D6:D13)</f>
        <v>0</v>
      </c>
      <c r="E18" s="57">
        <f>SUM(E6:E17)</f>
        <v>453</v>
      </c>
      <c r="F18" s="57">
        <f>SUM(F6:F13)</f>
        <v>0</v>
      </c>
      <c r="G18" s="57">
        <f>SUM(G6:G13)</f>
        <v>0</v>
      </c>
      <c r="H18" s="57">
        <f>SUM(H6:H13)</f>
        <v>0</v>
      </c>
      <c r="I18" s="57">
        <f>SUM(I6:I13)</f>
        <v>0</v>
      </c>
      <c r="J18" s="80"/>
    </row>
    <row r="19" spans="1:14" ht="27" customHeight="1" x14ac:dyDescent="0.25"/>
    <row r="20" spans="1:14" ht="27" customHeight="1" x14ac:dyDescent="0.25"/>
    <row r="21" spans="1:14" ht="27" customHeight="1" x14ac:dyDescent="0.25"/>
    <row r="22" spans="1:14" ht="27" customHeight="1" x14ac:dyDescent="0.25"/>
  </sheetData>
  <mergeCells count="2">
    <mergeCell ref="J14:N14"/>
    <mergeCell ref="A4:I4"/>
  </mergeCells>
  <phoneticPr fontId="19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workbookViewId="0">
      <selection activeCell="K7" sqref="K7"/>
    </sheetView>
  </sheetViews>
  <sheetFormatPr defaultRowHeight="15" x14ac:dyDescent="0.25"/>
  <cols>
    <col min="1" max="1" width="17.7109375" customWidth="1"/>
    <col min="2" max="2" width="48.85546875" customWidth="1"/>
    <col min="3" max="3" width="18.5703125" customWidth="1"/>
    <col min="4" max="4" width="52" customWidth="1"/>
    <col min="8" max="8" width="11.7109375" customWidth="1"/>
    <col min="9" max="9" width="13.7109375" customWidth="1"/>
    <col min="11" max="11" width="11.85546875" customWidth="1"/>
    <col min="12" max="12" width="13" customWidth="1"/>
  </cols>
  <sheetData>
    <row r="1" spans="1:12" ht="15.75" thickBot="1" x14ac:dyDescent="0.3"/>
    <row r="2" spans="1:12" ht="24" customHeight="1" x14ac:dyDescent="0.25">
      <c r="A2" s="112" t="s">
        <v>28</v>
      </c>
      <c r="B2" s="113"/>
      <c r="C2" s="113"/>
      <c r="D2" s="114"/>
    </row>
    <row r="3" spans="1:12" ht="24" customHeight="1" x14ac:dyDescent="0.25">
      <c r="A3" s="12" t="s">
        <v>19</v>
      </c>
      <c r="B3" s="13" t="s">
        <v>78</v>
      </c>
      <c r="C3" s="14" t="s">
        <v>30</v>
      </c>
      <c r="D3" s="15" t="s">
        <v>31</v>
      </c>
    </row>
    <row r="4" spans="1:12" ht="24" customHeight="1" x14ac:dyDescent="0.25">
      <c r="A4" s="12" t="s">
        <v>32</v>
      </c>
      <c r="B4" s="13" t="s">
        <v>79</v>
      </c>
      <c r="C4" s="14" t="s">
        <v>33</v>
      </c>
      <c r="D4" s="50">
        <v>45816</v>
      </c>
    </row>
    <row r="5" spans="1:12" ht="24" customHeight="1" x14ac:dyDescent="0.25">
      <c r="A5" s="12" t="s">
        <v>34</v>
      </c>
      <c r="B5" s="13" t="s">
        <v>35</v>
      </c>
      <c r="C5" s="14" t="s">
        <v>20</v>
      </c>
      <c r="D5" s="15" t="s">
        <v>80</v>
      </c>
    </row>
    <row r="6" spans="1:12" ht="37.5" customHeight="1" x14ac:dyDescent="0.25">
      <c r="A6" s="115" t="s">
        <v>3</v>
      </c>
      <c r="B6" s="116"/>
      <c r="C6" s="117" t="s">
        <v>4</v>
      </c>
      <c r="D6" s="118"/>
    </row>
    <row r="7" spans="1:12" ht="156.75" customHeight="1" x14ac:dyDescent="0.25">
      <c r="A7" s="119"/>
      <c r="B7" s="120"/>
      <c r="C7" s="121"/>
      <c r="D7" s="122"/>
    </row>
    <row r="8" spans="1:12" ht="18" customHeight="1" x14ac:dyDescent="0.25">
      <c r="A8" s="127" t="s">
        <v>18</v>
      </c>
      <c r="B8" s="129" t="s">
        <v>41</v>
      </c>
      <c r="C8" s="129" t="s">
        <v>18</v>
      </c>
      <c r="D8" s="131" t="s">
        <v>41</v>
      </c>
    </row>
    <row r="9" spans="1:12" ht="13.5" customHeight="1" x14ac:dyDescent="0.25">
      <c r="A9" s="128"/>
      <c r="B9" s="130"/>
      <c r="C9" s="130"/>
      <c r="D9" s="132"/>
    </row>
    <row r="10" spans="1:12" s="2" customFormat="1" ht="30.75" customHeight="1" x14ac:dyDescent="0.2">
      <c r="A10" s="127" t="s">
        <v>40</v>
      </c>
      <c r="B10" s="123" t="s">
        <v>81</v>
      </c>
      <c r="C10" s="129" t="s">
        <v>42</v>
      </c>
      <c r="D10" s="125"/>
    </row>
    <row r="11" spans="1:12" s="2" customFormat="1" ht="67.5" customHeight="1" x14ac:dyDescent="0.2">
      <c r="A11" s="128"/>
      <c r="B11" s="124"/>
      <c r="C11" s="130"/>
      <c r="D11" s="126"/>
    </row>
    <row r="12" spans="1:12" ht="24" thickBot="1" x14ac:dyDescent="0.3">
      <c r="A12" s="16" t="s">
        <v>36</v>
      </c>
      <c r="B12" s="17"/>
      <c r="C12" s="13" t="s">
        <v>36</v>
      </c>
      <c r="D12" s="18"/>
    </row>
    <row r="13" spans="1:12" ht="25.5" customHeight="1" thickBot="1" x14ac:dyDescent="0.3">
      <c r="A13" s="16" t="s">
        <v>37</v>
      </c>
      <c r="B13" s="17"/>
      <c r="C13" s="13" t="s">
        <v>37</v>
      </c>
      <c r="D13" s="18"/>
      <c r="H13" s="36" t="s">
        <v>9</v>
      </c>
      <c r="I13" s="37" t="s">
        <v>63</v>
      </c>
      <c r="K13" s="36" t="s">
        <v>9</v>
      </c>
      <c r="L13" s="37"/>
    </row>
    <row r="14" spans="1:12" ht="24" thickBot="1" x14ac:dyDescent="0.3">
      <c r="A14" s="16" t="s">
        <v>38</v>
      </c>
      <c r="B14" s="17"/>
      <c r="C14" s="13" t="s">
        <v>38</v>
      </c>
      <c r="D14" s="18"/>
      <c r="H14" s="38" t="s">
        <v>5</v>
      </c>
      <c r="I14" s="39"/>
      <c r="K14" s="38" t="s">
        <v>5</v>
      </c>
      <c r="L14" s="37" t="s">
        <v>63</v>
      </c>
    </row>
    <row r="15" spans="1:12" ht="26.25" customHeight="1" thickBot="1" x14ac:dyDescent="0.3">
      <c r="A15" s="19" t="s">
        <v>39</v>
      </c>
      <c r="B15" s="20"/>
      <c r="C15" s="21" t="s">
        <v>39</v>
      </c>
      <c r="D15" s="22"/>
      <c r="H15" s="40" t="s">
        <v>62</v>
      </c>
      <c r="I15" s="39"/>
      <c r="K15" s="40" t="s">
        <v>62</v>
      </c>
      <c r="L15" s="39"/>
    </row>
  </sheetData>
  <mergeCells count="13">
    <mergeCell ref="B10:B11"/>
    <mergeCell ref="D10:D11"/>
    <mergeCell ref="A10:A11"/>
    <mergeCell ref="B8:B9"/>
    <mergeCell ref="D8:D9"/>
    <mergeCell ref="C10:C11"/>
    <mergeCell ref="A8:A9"/>
    <mergeCell ref="C8:C9"/>
    <mergeCell ref="A2:D2"/>
    <mergeCell ref="A6:B6"/>
    <mergeCell ref="C6:D6"/>
    <mergeCell ref="A7:B7"/>
    <mergeCell ref="C7:D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hoạt động all</vt:lpstr>
      <vt:lpstr>Kaizen activity </vt:lpstr>
      <vt:lpstr>From bao cao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2023-08-21T03:13:58Z</dcterms:created>
  <dcterms:modified xsi:type="dcterms:W3CDTF">2025-12-13T00:42:20Z</dcterms:modified>
</cp:coreProperties>
</file>